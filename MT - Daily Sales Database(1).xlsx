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- PRIMA -\Learning\Programming\MT Dashboard\MT Daily Sales Dashboard\"/>
    </mc:Choice>
  </mc:AlternateContent>
  <xr:revisionPtr revIDLastSave="0" documentId="8_{06A3B959-C321-4A79-8F87-1610782156AD}" xr6:coauthVersionLast="47" xr6:coauthVersionMax="47" xr10:uidLastSave="{00000000-0000-0000-0000-000000000000}"/>
  <bookViews>
    <workbookView xWindow="-110" yWindow="-110" windowWidth="21820" windowHeight="13720" xr2:uid="{B7BD0873-6E56-47B2-B4E0-9159D4E1F976}"/>
  </bookViews>
  <sheets>
    <sheet name="Sales Database" sheetId="2" r:id="rId1"/>
    <sheet name="MONTHLY TARG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E5" i="2" s="1"/>
  <c r="E6" i="2" s="1"/>
  <c r="F4" i="2"/>
  <c r="G4" i="2"/>
  <c r="H4" i="2"/>
  <c r="F5" i="2"/>
  <c r="G5" i="2"/>
  <c r="H5" i="2"/>
  <c r="F6" i="2"/>
  <c r="G6" i="2"/>
  <c r="H6" i="2"/>
  <c r="F8" i="2"/>
  <c r="G8" i="2"/>
  <c r="H8" i="2"/>
  <c r="F9" i="2"/>
  <c r="G9" i="2"/>
  <c r="H9" i="2"/>
  <c r="F10" i="2"/>
  <c r="G10" i="2"/>
  <c r="H10" i="2"/>
  <c r="E8" i="2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F19" i="2"/>
  <c r="G19" i="2"/>
  <c r="H19" i="2"/>
  <c r="F20" i="2"/>
  <c r="G20" i="2"/>
  <c r="H20" i="2"/>
  <c r="F21" i="2"/>
  <c r="G21" i="2"/>
  <c r="F22" i="2"/>
  <c r="G22" i="2"/>
  <c r="H22" i="2"/>
  <c r="F23" i="2"/>
  <c r="G23" i="2"/>
  <c r="H23" i="2"/>
  <c r="F24" i="2"/>
  <c r="G24" i="2"/>
  <c r="F25" i="2"/>
  <c r="G25" i="2"/>
  <c r="H25" i="2"/>
  <c r="F26" i="2"/>
  <c r="F27" i="2"/>
  <c r="G27" i="2"/>
  <c r="H27" i="2"/>
  <c r="F28" i="2"/>
  <c r="G28" i="2"/>
  <c r="F29" i="2"/>
  <c r="G29" i="2"/>
  <c r="H29" i="2"/>
  <c r="F30" i="2"/>
  <c r="G30" i="2"/>
  <c r="H30" i="2"/>
  <c r="F31" i="2"/>
  <c r="G31" i="2"/>
  <c r="H31" i="2"/>
  <c r="F32" i="2"/>
  <c r="G32" i="2"/>
  <c r="F33" i="2"/>
  <c r="G33" i="2"/>
  <c r="H33" i="2"/>
  <c r="F34" i="2"/>
  <c r="G34" i="2"/>
  <c r="H34" i="2"/>
  <c r="F35" i="2"/>
  <c r="G35" i="2"/>
  <c r="F36" i="2"/>
  <c r="G36" i="2"/>
  <c r="H36" i="2"/>
  <c r="F37" i="2"/>
  <c r="G37" i="2"/>
  <c r="H37" i="2"/>
  <c r="F38" i="2"/>
  <c r="G38" i="2"/>
  <c r="H38" i="2"/>
  <c r="F39" i="2"/>
  <c r="G39" i="2"/>
  <c r="G40" i="2" s="1"/>
  <c r="G41" i="2" s="1"/>
  <c r="G42" i="2" s="1"/>
  <c r="G43" i="2" s="1"/>
  <c r="G44" i="2" s="1"/>
  <c r="G45" i="2" s="1"/>
  <c r="G46" i="2" s="1"/>
  <c r="G47" i="2" s="1"/>
  <c r="G48" i="2" s="1"/>
  <c r="F40" i="2"/>
  <c r="H40" i="2"/>
  <c r="F41" i="2"/>
  <c r="H41" i="2"/>
  <c r="F42" i="2"/>
  <c r="H42" i="2"/>
  <c r="F43" i="2"/>
  <c r="H43" i="2"/>
  <c r="F44" i="2"/>
  <c r="F45" i="2"/>
  <c r="H45" i="2"/>
  <c r="F46" i="2"/>
  <c r="H46" i="2"/>
  <c r="F47" i="2"/>
  <c r="C4" i="2"/>
  <c r="C5" i="2"/>
  <c r="C6" i="2"/>
  <c r="C7" i="2"/>
  <c r="C8" i="2"/>
  <c r="C9" i="2"/>
  <c r="C10" i="2"/>
  <c r="C11" i="2"/>
  <c r="C12" i="2"/>
  <c r="C13" i="2"/>
  <c r="C14" i="2"/>
  <c r="C15" i="2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F48" i="2"/>
  <c r="H48" i="2"/>
  <c r="E50" i="2"/>
  <c r="F50" i="2"/>
  <c r="G50" i="2"/>
  <c r="H50" i="2"/>
  <c r="E51" i="2"/>
  <c r="F51" i="2"/>
  <c r="G51" i="2"/>
  <c r="H51" i="2"/>
  <c r="E52" i="2"/>
  <c r="F52" i="2"/>
  <c r="G52" i="2"/>
  <c r="H52" i="2"/>
  <c r="F54" i="2"/>
  <c r="G54" i="2"/>
  <c r="H54" i="2"/>
  <c r="F55" i="2"/>
  <c r="G55" i="2"/>
  <c r="H55" i="2"/>
  <c r="F56" i="2"/>
  <c r="G56" i="2"/>
  <c r="H56" i="2"/>
  <c r="F57" i="2"/>
  <c r="G57" i="2"/>
  <c r="F58" i="2"/>
  <c r="G58" i="2"/>
  <c r="H58" i="2"/>
  <c r="F59" i="2"/>
  <c r="G59" i="2"/>
  <c r="H59" i="2"/>
  <c r="F60" i="2"/>
  <c r="G60" i="2"/>
  <c r="H60" i="2"/>
  <c r="F61" i="2"/>
  <c r="G61" i="2"/>
  <c r="H61" i="2"/>
  <c r="F62" i="2"/>
  <c r="G62" i="2"/>
  <c r="H62" i="2"/>
  <c r="F63" i="2"/>
  <c r="G63" i="2"/>
  <c r="F64" i="2"/>
  <c r="G64" i="2"/>
  <c r="H64" i="2"/>
  <c r="F65" i="2"/>
  <c r="G65" i="2"/>
  <c r="H65" i="2"/>
  <c r="F66" i="2"/>
  <c r="G66" i="2"/>
  <c r="H66" i="2"/>
  <c r="E54" i="2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F68" i="2"/>
  <c r="G68" i="2"/>
  <c r="H68" i="2"/>
  <c r="F69" i="2"/>
  <c r="G69" i="2"/>
  <c r="H69" i="2"/>
  <c r="F70" i="2"/>
  <c r="G70" i="2"/>
  <c r="H70" i="2"/>
  <c r="F71" i="2"/>
  <c r="G71" i="2"/>
  <c r="G72" i="2" s="1"/>
  <c r="G73" i="2" s="1"/>
  <c r="G74" i="2" s="1"/>
  <c r="G75" i="2" s="1"/>
  <c r="G76" i="2" s="1"/>
  <c r="G77" i="2" s="1"/>
  <c r="G78" i="2" s="1"/>
  <c r="G79" i="2" s="1"/>
  <c r="G80" i="2" s="1"/>
  <c r="F72" i="2"/>
  <c r="H72" i="2"/>
  <c r="F73" i="2"/>
  <c r="H73" i="2"/>
  <c r="F74" i="2"/>
  <c r="F75" i="2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H75" i="2"/>
  <c r="H77" i="2"/>
  <c r="H78" i="2"/>
  <c r="H80" i="2"/>
  <c r="G82" i="2"/>
  <c r="G83" i="2"/>
  <c r="H83" i="2"/>
  <c r="G84" i="2"/>
  <c r="H84" i="2"/>
  <c r="G85" i="2"/>
  <c r="H85" i="2"/>
  <c r="G86" i="2"/>
  <c r="G87" i="2"/>
  <c r="H87" i="2"/>
  <c r="G88" i="2"/>
  <c r="H88" i="2"/>
  <c r="G89" i="2"/>
  <c r="G90" i="2"/>
  <c r="H90" i="2"/>
  <c r="G91" i="2"/>
  <c r="H91" i="2"/>
  <c r="G92" i="2"/>
  <c r="H92" i="2"/>
  <c r="G93" i="2"/>
  <c r="G94" i="2"/>
  <c r="H94" i="2"/>
  <c r="G95" i="2"/>
  <c r="H95" i="2"/>
  <c r="G96" i="2"/>
  <c r="H96" i="2"/>
  <c r="G97" i="2"/>
  <c r="G98" i="2"/>
  <c r="H98" i="2"/>
  <c r="G99" i="2"/>
  <c r="H99" i="2"/>
  <c r="G100" i="2"/>
  <c r="H100" i="2"/>
  <c r="G101" i="2"/>
  <c r="G102" i="2"/>
  <c r="H102" i="2"/>
  <c r="G103" i="2"/>
  <c r="H103" i="2"/>
  <c r="C50" i="2"/>
  <c r="C51" i="2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F113" i="2"/>
  <c r="G113" i="2"/>
  <c r="H113" i="2"/>
  <c r="F114" i="2"/>
  <c r="G114" i="2"/>
  <c r="H114" i="2"/>
  <c r="F115" i="2"/>
  <c r="G115" i="2"/>
  <c r="H115" i="2"/>
  <c r="F116" i="2"/>
  <c r="G116" i="2"/>
  <c r="F117" i="2"/>
  <c r="G117" i="2"/>
  <c r="H117" i="2"/>
  <c r="F118" i="2"/>
  <c r="G118" i="2"/>
  <c r="H118" i="2"/>
  <c r="E113" i="2"/>
  <c r="E114" i="2"/>
  <c r="E115" i="2"/>
  <c r="E116" i="2"/>
  <c r="E117" i="2"/>
  <c r="E118" i="2"/>
  <c r="E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E124" i="2"/>
  <c r="F124" i="2"/>
  <c r="G124" i="2"/>
  <c r="H124" i="2"/>
  <c r="E125" i="2"/>
  <c r="F125" i="2"/>
  <c r="G125" i="2"/>
  <c r="H125" i="2"/>
  <c r="E126" i="2"/>
  <c r="F126" i="2"/>
  <c r="G126" i="2"/>
  <c r="E127" i="2"/>
  <c r="F127" i="2"/>
  <c r="G127" i="2"/>
  <c r="H127" i="2"/>
  <c r="E128" i="2"/>
  <c r="F128" i="2"/>
  <c r="G128" i="2"/>
  <c r="E129" i="2"/>
  <c r="F129" i="2"/>
  <c r="G129" i="2"/>
  <c r="E130" i="2"/>
  <c r="F130" i="2"/>
  <c r="G130" i="2"/>
  <c r="H130" i="2"/>
  <c r="E131" i="2"/>
  <c r="F131" i="2"/>
  <c r="E132" i="2"/>
  <c r="F132" i="2"/>
  <c r="G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E149" i="2"/>
  <c r="F149" i="2"/>
  <c r="G149" i="2"/>
  <c r="H149" i="2"/>
  <c r="E150" i="2"/>
  <c r="F150" i="2"/>
  <c r="G150" i="2"/>
  <c r="H150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E151" i="2"/>
  <c r="F151" i="2"/>
  <c r="G151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F163" i="2" s="1"/>
  <c r="F164" i="2" s="1"/>
  <c r="F165" i="2" s="1"/>
  <c r="F166" i="2" s="1"/>
  <c r="F167" i="2" s="1"/>
  <c r="G162" i="2"/>
  <c r="E163" i="2"/>
  <c r="G163" i="2"/>
  <c r="H163" i="2"/>
  <c r="E164" i="2"/>
  <c r="E165" i="2" s="1"/>
  <c r="E166" i="2" s="1"/>
  <c r="E167" i="2" s="1"/>
  <c r="G164" i="2"/>
  <c r="H164" i="2"/>
  <c r="G165" i="2"/>
  <c r="H165" i="2"/>
  <c r="G166" i="2"/>
  <c r="H166" i="2"/>
  <c r="H167" i="2" s="1"/>
  <c r="G167" i="2"/>
  <c r="F169" i="2"/>
  <c r="F170" i="2" s="1"/>
  <c r="F171" i="2" s="1"/>
  <c r="F172" i="2" s="1"/>
  <c r="F173" i="2" s="1"/>
  <c r="F174" i="2" s="1"/>
  <c r="F175" i="2" s="1"/>
  <c r="F176" i="2" s="1"/>
  <c r="F177" i="2" s="1"/>
  <c r="F178" i="2" s="1"/>
  <c r="G169" i="2"/>
  <c r="H169" i="2"/>
  <c r="G170" i="2"/>
  <c r="G171" i="2" s="1"/>
  <c r="G172" i="2" s="1"/>
  <c r="G173" i="2" s="1"/>
  <c r="G174" i="2" s="1"/>
  <c r="G175" i="2" s="1"/>
  <c r="G176" i="2" s="1"/>
  <c r="G177" i="2" s="1"/>
  <c r="G178" i="2" s="1"/>
  <c r="H170" i="2"/>
  <c r="H171" i="2"/>
  <c r="H173" i="2"/>
  <c r="H174" i="2" s="1"/>
  <c r="H176" i="2"/>
  <c r="H177" i="2"/>
  <c r="H178" i="2" s="1"/>
  <c r="H180" i="2"/>
  <c r="G180" i="2"/>
  <c r="G181" i="2" s="1"/>
  <c r="G182" i="2" s="1"/>
  <c r="G183" i="2" s="1"/>
  <c r="H183" i="2"/>
  <c r="F180" i="2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G185" i="2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H185" i="2"/>
  <c r="H186" i="2"/>
  <c r="H188" i="2"/>
  <c r="H189" i="2" s="1"/>
  <c r="H190" i="2" s="1"/>
  <c r="H192" i="2"/>
  <c r="H193" i="2" s="1"/>
  <c r="H194" i="2" s="1"/>
  <c r="H196" i="2"/>
  <c r="H197" i="2"/>
  <c r="H198" i="2" s="1"/>
  <c r="F200" i="2"/>
  <c r="F201" i="2" s="1"/>
  <c r="F202" i="2" s="1"/>
  <c r="F203" i="2" s="1"/>
  <c r="F204" i="2" s="1"/>
  <c r="F205" i="2" s="1"/>
  <c r="G201" i="2"/>
  <c r="H201" i="2"/>
  <c r="G202" i="2"/>
  <c r="G203" i="2" s="1"/>
  <c r="G204" i="2" s="1"/>
  <c r="G205" i="2" s="1"/>
  <c r="H202" i="2"/>
  <c r="H203" i="2" s="1"/>
  <c r="H204" i="2" s="1"/>
  <c r="H205" i="2" s="1"/>
  <c r="E169" i="2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F207" i="2"/>
  <c r="G207" i="2"/>
  <c r="H207" i="2"/>
  <c r="F208" i="2"/>
  <c r="F209" i="2"/>
  <c r="G209" i="2"/>
  <c r="H209" i="2"/>
  <c r="F210" i="2"/>
  <c r="G210" i="2"/>
  <c r="H210" i="2"/>
  <c r="F211" i="2"/>
  <c r="G211" i="2"/>
  <c r="H211" i="2"/>
  <c r="F212" i="2"/>
  <c r="G212" i="2"/>
  <c r="H212" i="2"/>
  <c r="F213" i="2"/>
  <c r="G213" i="2"/>
  <c r="H213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F225" i="2"/>
  <c r="G225" i="2"/>
  <c r="H225" i="2"/>
  <c r="F226" i="2"/>
  <c r="G226" i="2"/>
  <c r="H226" i="2"/>
  <c r="F227" i="2"/>
  <c r="G227" i="2"/>
  <c r="H227" i="2"/>
  <c r="F228" i="2"/>
  <c r="G228" i="2"/>
  <c r="H228" i="2"/>
  <c r="F229" i="2"/>
  <c r="G229" i="2"/>
  <c r="H231" i="2"/>
  <c r="H232" i="2"/>
  <c r="H233" i="2"/>
  <c r="H235" i="2"/>
  <c r="H237" i="2"/>
  <c r="G231" i="2"/>
  <c r="G232" i="2"/>
  <c r="G233" i="2"/>
  <c r="G234" i="2"/>
  <c r="G235" i="2"/>
  <c r="G236" i="2"/>
  <c r="G237" i="2"/>
  <c r="G238" i="2"/>
  <c r="G239" i="2"/>
  <c r="H239" i="2"/>
  <c r="F231" i="2"/>
  <c r="F232" i="2"/>
  <c r="F233" i="2"/>
  <c r="F234" i="2"/>
  <c r="F235" i="2"/>
  <c r="F236" i="2"/>
  <c r="F237" i="2"/>
  <c r="F238" i="2"/>
  <c r="F239" i="2"/>
  <c r="F240" i="2"/>
  <c r="F241" i="2"/>
  <c r="G241" i="2"/>
  <c r="H241" i="2"/>
  <c r="F242" i="2"/>
  <c r="G242" i="2"/>
  <c r="H242" i="2"/>
  <c r="F243" i="2"/>
  <c r="G243" i="2"/>
  <c r="H243" i="2"/>
  <c r="F244" i="2"/>
  <c r="G244" i="2"/>
  <c r="F245" i="2"/>
  <c r="G245" i="2"/>
  <c r="H245" i="2"/>
  <c r="F246" i="2"/>
  <c r="G246" i="2"/>
  <c r="H246" i="2"/>
  <c r="F247" i="2"/>
  <c r="G247" i="2"/>
  <c r="H247" i="2"/>
  <c r="F248" i="2"/>
  <c r="G248" i="2"/>
  <c r="F249" i="2"/>
  <c r="G249" i="2"/>
  <c r="H249" i="2"/>
  <c r="F250" i="2"/>
  <c r="G250" i="2"/>
  <c r="H250" i="2"/>
  <c r="F251" i="2"/>
  <c r="G251" i="2"/>
  <c r="H251" i="2"/>
  <c r="F252" i="2"/>
  <c r="G252" i="2"/>
  <c r="F253" i="2"/>
  <c r="G253" i="2"/>
  <c r="H253" i="2"/>
  <c r="F254" i="2"/>
  <c r="G254" i="2"/>
  <c r="H254" i="2"/>
  <c r="F255" i="2"/>
  <c r="G255" i="2"/>
  <c r="H255" i="2"/>
  <c r="G257" i="2"/>
  <c r="H257" i="2"/>
  <c r="F257" i="2"/>
  <c r="F258" i="2"/>
  <c r="F259" i="2"/>
  <c r="G259" i="2"/>
  <c r="H259" i="2"/>
  <c r="F260" i="2"/>
  <c r="G260" i="2"/>
  <c r="H260" i="2"/>
  <c r="F261" i="2"/>
  <c r="G261" i="2"/>
  <c r="H261" i="2"/>
  <c r="E225" i="2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F263" i="2"/>
  <c r="F264" i="2" s="1"/>
  <c r="F265" i="2" s="1"/>
  <c r="F266" i="2" s="1"/>
  <c r="F267" i="2" s="1"/>
  <c r="G263" i="2"/>
  <c r="G265" i="2"/>
  <c r="H265" i="2"/>
  <c r="G266" i="2"/>
  <c r="G267" i="2" s="1"/>
  <c r="H266" i="2"/>
  <c r="H267" i="2" s="1"/>
  <c r="C215" i="2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E269" i="2"/>
  <c r="F269" i="2"/>
  <c r="G269" i="2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H269" i="2"/>
  <c r="E270" i="2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F270" i="2"/>
  <c r="H270" i="2"/>
  <c r="F271" i="2"/>
  <c r="H271" i="2"/>
  <c r="F272" i="2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H273" i="2"/>
  <c r="H274" i="2"/>
  <c r="H275" i="2" s="1"/>
  <c r="H276" i="2" s="1"/>
  <c r="H277" i="2" s="1"/>
  <c r="H279" i="2"/>
  <c r="H280" i="2"/>
  <c r="H282" i="2"/>
  <c r="H283" i="2"/>
  <c r="H284" i="2" s="1"/>
  <c r="F286" i="2"/>
  <c r="F287" i="2" s="1"/>
  <c r="F288" i="2" s="1"/>
  <c r="F289" i="2" s="1"/>
  <c r="F290" i="2" s="1"/>
  <c r="F291" i="2" s="1"/>
  <c r="F292" i="2" s="1"/>
  <c r="F293" i="2" s="1"/>
  <c r="F294" i="2" s="1"/>
  <c r="G286" i="2"/>
  <c r="H286" i="2"/>
  <c r="G287" i="2"/>
  <c r="G288" i="2" s="1"/>
  <c r="G289" i="2" s="1"/>
  <c r="G290" i="2" s="1"/>
  <c r="G291" i="2" s="1"/>
  <c r="G292" i="2" s="1"/>
  <c r="G293" i="2" s="1"/>
  <c r="G294" i="2" s="1"/>
  <c r="H288" i="2"/>
  <c r="H289" i="2"/>
  <c r="H290" i="2" s="1"/>
  <c r="H292" i="2"/>
  <c r="H293" i="2" s="1"/>
  <c r="H294" i="2" s="1"/>
  <c r="H296" i="2"/>
  <c r="H297" i="2" s="1"/>
  <c r="H298" i="2" s="1"/>
  <c r="H300" i="2"/>
  <c r="H301" i="2" s="1"/>
  <c r="H303" i="2"/>
  <c r="G296" i="2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H306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G308" i="2"/>
  <c r="H308" i="2"/>
  <c r="F309" i="2"/>
  <c r="G309" i="2"/>
  <c r="H309" i="2"/>
  <c r="F310" i="2"/>
  <c r="G310" i="2"/>
  <c r="F311" i="2"/>
  <c r="G311" i="2"/>
  <c r="H311" i="2"/>
  <c r="F312" i="2"/>
  <c r="G312" i="2"/>
  <c r="H312" i="2"/>
  <c r="F313" i="2"/>
  <c r="G313" i="2"/>
  <c r="H313" i="2"/>
  <c r="F314" i="2"/>
  <c r="G314" i="2"/>
  <c r="F315" i="2"/>
  <c r="G315" i="2"/>
  <c r="H315" i="2"/>
  <c r="F316" i="2"/>
  <c r="G316" i="2"/>
  <c r="H316" i="2"/>
  <c r="F317" i="2"/>
  <c r="G317" i="2"/>
  <c r="H317" i="2"/>
  <c r="F318" i="2"/>
  <c r="G318" i="2"/>
  <c r="F319" i="2"/>
  <c r="G319" i="2"/>
  <c r="H319" i="2"/>
  <c r="F320" i="2"/>
  <c r="G320" i="2"/>
  <c r="H320" i="2"/>
  <c r="F321" i="2"/>
  <c r="G321" i="2"/>
  <c r="F322" i="2"/>
  <c r="G322" i="2"/>
  <c r="H322" i="2"/>
  <c r="F323" i="2"/>
  <c r="G323" i="2"/>
  <c r="H323" i="2"/>
  <c r="H326" i="2"/>
  <c r="H327" i="2"/>
  <c r="G325" i="2"/>
  <c r="G326" i="2"/>
  <c r="G327" i="2"/>
  <c r="G328" i="2"/>
  <c r="G329" i="2"/>
  <c r="F325" i="2"/>
  <c r="F326" i="2"/>
  <c r="F327" i="2"/>
  <c r="F328" i="2"/>
  <c r="F329" i="2"/>
  <c r="F330" i="2"/>
  <c r="F331" i="2"/>
  <c r="G331" i="2"/>
  <c r="H331" i="2"/>
  <c r="F332" i="2"/>
  <c r="G332" i="2"/>
  <c r="H332" i="2"/>
  <c r="F333" i="2"/>
  <c r="G333" i="2"/>
  <c r="H333" i="2"/>
  <c r="F335" i="2"/>
  <c r="G335" i="2"/>
  <c r="H335" i="2"/>
  <c r="F336" i="2"/>
  <c r="G336" i="2"/>
  <c r="H336" i="2"/>
  <c r="F337" i="2"/>
  <c r="G337" i="2"/>
  <c r="H337" i="2"/>
  <c r="F338" i="2"/>
  <c r="G338" i="2"/>
  <c r="H338" i="2"/>
  <c r="F339" i="2"/>
  <c r="G339" i="2"/>
  <c r="H339" i="2"/>
  <c r="F340" i="2"/>
  <c r="G340" i="2"/>
  <c r="F341" i="2"/>
  <c r="G341" i="2"/>
  <c r="H341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F343" i="2"/>
  <c r="G343" i="2"/>
  <c r="H343" i="2"/>
  <c r="E344" i="2"/>
  <c r="F344" i="2"/>
  <c r="G344" i="2"/>
  <c r="H344" i="2"/>
  <c r="E345" i="2"/>
  <c r="F345" i="2"/>
  <c r="G345" i="2"/>
  <c r="E346" i="2"/>
  <c r="F346" i="2"/>
  <c r="E347" i="2"/>
  <c r="F347" i="2"/>
  <c r="G347" i="2"/>
  <c r="H347" i="2"/>
  <c r="E348" i="2"/>
  <c r="F348" i="2"/>
  <c r="G348" i="2"/>
  <c r="H34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E350" i="2"/>
  <c r="F350" i="2"/>
  <c r="G350" i="2"/>
  <c r="H350" i="2"/>
  <c r="E351" i="2"/>
  <c r="F351" i="2"/>
  <c r="G351" i="2"/>
  <c r="H351" i="2"/>
  <c r="E352" i="2"/>
  <c r="F352" i="2"/>
  <c r="G352" i="2"/>
  <c r="H352" i="2"/>
  <c r="E353" i="2"/>
  <c r="F353" i="2"/>
  <c r="G353" i="2"/>
  <c r="H353" i="2"/>
  <c r="E354" i="2"/>
  <c r="F354" i="2"/>
  <c r="G354" i="2"/>
  <c r="H354" i="2"/>
  <c r="E355" i="2"/>
  <c r="F355" i="2"/>
  <c r="G355" i="2"/>
  <c r="E356" i="2"/>
  <c r="F356" i="2"/>
  <c r="G356" i="2"/>
  <c r="H356" i="2"/>
  <c r="E357" i="2"/>
  <c r="F357" i="2"/>
  <c r="G357" i="2"/>
  <c r="H357" i="2"/>
  <c r="E358" i="2"/>
  <c r="F358" i="2"/>
  <c r="G358" i="2"/>
  <c r="H358" i="2"/>
  <c r="E359" i="2"/>
  <c r="F359" i="2"/>
  <c r="G359" i="2"/>
  <c r="H359" i="2"/>
  <c r="E360" i="2"/>
  <c r="F360" i="2"/>
  <c r="G360" i="2"/>
  <c r="H360" i="2"/>
  <c r="E361" i="2"/>
  <c r="F361" i="2"/>
  <c r="G361" i="2"/>
  <c r="E362" i="2"/>
  <c r="F362" i="2"/>
  <c r="G362" i="2"/>
  <c r="H362" i="2"/>
  <c r="E363" i="2"/>
  <c r="F363" i="2"/>
  <c r="G363" i="2"/>
  <c r="H363" i="2"/>
  <c r="E364" i="2"/>
  <c r="F364" i="2"/>
  <c r="G364" i="2"/>
  <c r="F366" i="2"/>
  <c r="G366" i="2"/>
  <c r="H366" i="2"/>
  <c r="F367" i="2"/>
  <c r="G367" i="2"/>
  <c r="H367" i="2"/>
  <c r="F368" i="2"/>
  <c r="G368" i="2"/>
  <c r="H368" i="2"/>
  <c r="F369" i="2"/>
  <c r="G369" i="2"/>
  <c r="F370" i="2"/>
  <c r="G370" i="2"/>
  <c r="H370" i="2"/>
  <c r="H372" i="2"/>
  <c r="H373" i="2"/>
  <c r="H375" i="2"/>
  <c r="H376" i="2"/>
  <c r="H378" i="2"/>
  <c r="G372" i="2"/>
  <c r="G373" i="2"/>
  <c r="G374" i="2"/>
  <c r="G375" i="2"/>
  <c r="G376" i="2"/>
  <c r="G377" i="2"/>
  <c r="G378" i="2"/>
  <c r="G379" i="2"/>
  <c r="G380" i="2"/>
  <c r="G381" i="2"/>
  <c r="H38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G383" i="2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H383" i="2"/>
  <c r="H384" i="2"/>
  <c r="H385" i="2"/>
  <c r="H386" i="2"/>
  <c r="H387" i="2"/>
  <c r="H389" i="2"/>
  <c r="H390" i="2"/>
  <c r="H391" i="2"/>
  <c r="H393" i="2"/>
  <c r="H394" i="2"/>
  <c r="H395" i="2"/>
  <c r="H396" i="2"/>
  <c r="H397" i="2"/>
  <c r="H399" i="2"/>
  <c r="H400" i="2"/>
  <c r="H401" i="2"/>
  <c r="H403" i="2"/>
  <c r="H404" i="2"/>
  <c r="H406" i="2"/>
  <c r="H408" i="2"/>
  <c r="H409" i="2"/>
  <c r="G406" i="2"/>
  <c r="G407" i="2"/>
  <c r="G408" i="2"/>
  <c r="G409" i="2"/>
  <c r="G410" i="2"/>
  <c r="F406" i="2"/>
  <c r="F407" i="2"/>
  <c r="F408" i="2"/>
  <c r="F409" i="2"/>
  <c r="F410" i="2"/>
  <c r="F411" i="2"/>
  <c r="F412" i="2"/>
  <c r="G412" i="2"/>
  <c r="H412" i="2"/>
  <c r="F413" i="2"/>
  <c r="G413" i="2"/>
  <c r="H413" i="2"/>
  <c r="F415" i="2"/>
  <c r="G415" i="2"/>
  <c r="H415" i="2"/>
  <c r="F416" i="2"/>
  <c r="G416" i="2"/>
  <c r="H416" i="2"/>
  <c r="F417" i="2"/>
  <c r="G417" i="2"/>
  <c r="H417" i="2"/>
  <c r="F418" i="2"/>
  <c r="G418" i="2"/>
  <c r="F419" i="2"/>
  <c r="G419" i="2"/>
  <c r="H419" i="2"/>
  <c r="F420" i="2"/>
  <c r="G420" i="2"/>
  <c r="H420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F422" i="2"/>
  <c r="G422" i="2"/>
  <c r="E423" i="2"/>
  <c r="F423" i="2"/>
  <c r="G423" i="2"/>
  <c r="H423" i="2"/>
  <c r="E424" i="2"/>
  <c r="F424" i="2"/>
  <c r="G424" i="2"/>
  <c r="H424" i="2"/>
  <c r="E425" i="2"/>
  <c r="F425" i="2"/>
  <c r="G425" i="2"/>
  <c r="E426" i="2"/>
  <c r="F426" i="2"/>
  <c r="G426" i="2"/>
  <c r="E427" i="2"/>
  <c r="F427" i="2"/>
</calcChain>
</file>

<file path=xl/sharedStrings.xml><?xml version="1.0" encoding="utf-8"?>
<sst xmlns="http://schemas.openxmlformats.org/spreadsheetml/2006/main" count="1095" uniqueCount="64">
  <si>
    <t>DIRECT</t>
  </si>
  <si>
    <t>YEAR</t>
  </si>
  <si>
    <t>Jan</t>
  </si>
  <si>
    <t>Feb</t>
  </si>
  <si>
    <t>Mar</t>
  </si>
  <si>
    <t>Apr</t>
  </si>
  <si>
    <t>May</t>
  </si>
  <si>
    <t>Jun</t>
  </si>
  <si>
    <t>Jul</t>
  </si>
  <si>
    <t>MONTH</t>
  </si>
  <si>
    <t>MBS</t>
  </si>
  <si>
    <t>KP</t>
  </si>
  <si>
    <t>PM</t>
  </si>
  <si>
    <t>VIP</t>
  </si>
  <si>
    <t>PP</t>
  </si>
  <si>
    <t>CATEGORY</t>
  </si>
  <si>
    <t>SALES TO DISTRIBUTOR</t>
  </si>
  <si>
    <t>SALES TO MARKET</t>
  </si>
  <si>
    <t>CUSTOMER CHAIN</t>
  </si>
  <si>
    <t>MENSA BINASUKSES</t>
  </si>
  <si>
    <t>HYPERMART</t>
  </si>
  <si>
    <t>ADA SWALAYAN GROUP</t>
  </si>
  <si>
    <t>ALFAMART</t>
  </si>
  <si>
    <t>ALFAMIDI</t>
  </si>
  <si>
    <t>BORMA GROUP</t>
  </si>
  <si>
    <t>HARI-HARI GROUP</t>
  </si>
  <si>
    <t>INDOGROSIR</t>
  </si>
  <si>
    <t>INDOMARET</t>
  </si>
  <si>
    <t>LION SUPERINDO</t>
  </si>
  <si>
    <t>NAGA SWALAYAN GROUP</t>
  </si>
  <si>
    <t>OTHERS</t>
  </si>
  <si>
    <t>TIP-TOP SWALAYAN GROUP</t>
  </si>
  <si>
    <t>YOGYA GROUP</t>
  </si>
  <si>
    <t>KEDAI MART</t>
  </si>
  <si>
    <t>KEBAYORAN PHARMA</t>
  </si>
  <si>
    <t>YOMART</t>
  </si>
  <si>
    <t>PRIMA MEDITAMA</t>
  </si>
  <si>
    <t>VARIA INDAH PARAMITA</t>
  </si>
  <si>
    <t>PANCA PILAR PERKASA</t>
  </si>
  <si>
    <t>DISTRIBUTOR</t>
  </si>
  <si>
    <t>MTI</t>
  </si>
  <si>
    <t>NKA</t>
  </si>
  <si>
    <t>NON NKA</t>
  </si>
  <si>
    <t>SKU NAME</t>
  </si>
  <si>
    <t>GLO CRYSTAL CLEAR WIPER FLUID 400ML</t>
  </si>
  <si>
    <t>GLO HYPER BLACK TIRE SHINE 165ML</t>
  </si>
  <si>
    <t>GLO WASH &amp; SHINE POUCH 700ML</t>
  </si>
  <si>
    <t>GLO WASH &amp; WAX POUCH 720ML</t>
  </si>
  <si>
    <t>EVO ENGINE FLUSH 80ML</t>
  </si>
  <si>
    <t>EVO INJECTOR CLEANER 80ML</t>
  </si>
  <si>
    <t>WF</t>
  </si>
  <si>
    <t>TS</t>
  </si>
  <si>
    <t>WS</t>
  </si>
  <si>
    <t>WW</t>
  </si>
  <si>
    <t>EF</t>
  </si>
  <si>
    <t>IC</t>
  </si>
  <si>
    <t>DISTRIBUTION TYPE</t>
  </si>
  <si>
    <t>ACCOUNT TYPE</t>
  </si>
  <si>
    <t>SKU INITIAL</t>
  </si>
  <si>
    <t>SALES VALUE</t>
  </si>
  <si>
    <t>SALES QUANTITY</t>
  </si>
  <si>
    <t>DATE</t>
  </si>
  <si>
    <t>Month</t>
  </si>
  <si>
    <t>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</si>
</sst>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p&quot;#,##0"/>
    <numFmt numFmtId="165" formatCode="_ * #,##0_ ;_ * \-#,##0_ ;_ * &quot;-&quot;??_ ;_ @_ 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00AEEF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1" xfId="0" applyFont="1" applyFill="1" applyBorder="1"/>
    <xf numFmtId="164" fontId="0" fillId="0" borderId="0" xfId="0" applyNumberFormat="1"/>
    <xf numFmtId="0" fontId="0" fillId="0" borderId="0" xfId="0" applyFont="1"/>
    <xf numFmtId="0" fontId="0" fillId="0" borderId="1" xfId="0" applyFont="1" applyBorder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Font="1" applyAlignment="1">
      <alignment horizontal="right"/>
    </xf>
    <xf numFmtId="0" fontId="3" fillId="3" borderId="0" xfId="1" applyFont="1" applyFill="1" applyAlignment="1">
      <alignment horizontal="center" vertical="center"/>
    </xf>
    <xf numFmtId="0" fontId="2" fillId="0" borderId="0" xfId="1"/>
    <xf numFmtId="17" fontId="2" fillId="0" borderId="0" xfId="1" applyNumberFormat="1" applyAlignment="1">
      <alignment horizontal="center"/>
    </xf>
    <xf numFmtId="3" fontId="2" fillId="0" borderId="0" xfId="1" applyNumberFormat="1" applyAlignment="1">
      <alignment horizontal="right"/>
    </xf>
  </cellXfs>
  <cellStyles count="2">
    <cellStyle name="Normal" xfId="0" builtinId="0"/>
    <cellStyle name="Normal 40" xfId="1" xr:uid="{571B3DCA-8D33-4D82-A76B-CB5E6026716D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Light16">
    <tableStyle name="PivotStylePreset2_Accent1" table="0" count="10" xr9:uid="{D9E544DF-CDBB-4F1C-95A1-1DE573A615A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3D36-EA1E-4463-A822-AFF540512A30}">
  <dimension ref="B2:L427"/>
  <sheetViews>
    <sheetView tabSelected="1" workbookViewId="0">
      <selection activeCell="I8" sqref="I8"/>
    </sheetView>
  </sheetViews>
  <sheetFormatPr defaultRowHeight="14.5"/>
  <cols>
    <col min="2" max="2" width="5.08984375" bestFit="1" customWidth="1"/>
    <col min="3" max="3" width="7.453125" bestFit="1" customWidth="1"/>
    <col min="4" max="4" width="7.453125" customWidth="1"/>
    <col min="5" max="5" width="20.26953125" bestFit="1" customWidth="1"/>
    <col min="6" max="6" width="17.453125" bestFit="1" customWidth="1"/>
    <col min="7" max="7" width="13.7265625" bestFit="1" customWidth="1"/>
    <col min="8" max="8" width="23.90625" bestFit="1" customWidth="1"/>
    <col min="9" max="9" width="35.1796875" bestFit="1" customWidth="1"/>
    <col min="10" max="10" width="6.7265625" bestFit="1" customWidth="1"/>
    <col min="11" max="11" width="22.36328125" bestFit="1" customWidth="1"/>
    <col min="12" max="12" width="15.81640625" bestFit="1" customWidth="1"/>
  </cols>
  <sheetData>
    <row r="2" spans="2:12">
      <c r="B2" s="2" t="s">
        <v>1</v>
      </c>
      <c r="C2" s="2" t="s">
        <v>9</v>
      </c>
      <c r="D2" s="2" t="s">
        <v>61</v>
      </c>
      <c r="E2" s="2" t="s">
        <v>15</v>
      </c>
      <c r="F2" s="2" t="s">
        <v>56</v>
      </c>
      <c r="G2" s="2" t="s">
        <v>57</v>
      </c>
      <c r="H2" s="2" t="s">
        <v>18</v>
      </c>
      <c r="I2" s="2" t="s">
        <v>43</v>
      </c>
      <c r="J2" s="2" t="s">
        <v>58</v>
      </c>
      <c r="K2" s="2" t="s">
        <v>59</v>
      </c>
      <c r="L2" s="2" t="s">
        <v>60</v>
      </c>
    </row>
    <row r="3" spans="2:12">
      <c r="B3" s="4">
        <v>2026</v>
      </c>
      <c r="C3" s="8" t="s">
        <v>2</v>
      </c>
      <c r="D3" s="8">
        <v>31</v>
      </c>
      <c r="E3" t="s">
        <v>16</v>
      </c>
      <c r="F3" s="4" t="s">
        <v>0</v>
      </c>
      <c r="G3" t="s">
        <v>39</v>
      </c>
      <c r="H3" s="4" t="s">
        <v>19</v>
      </c>
      <c r="I3" t="s">
        <v>44</v>
      </c>
      <c r="J3" t="s">
        <v>50</v>
      </c>
      <c r="K3" s="1">
        <v>8629920</v>
      </c>
      <c r="L3" s="7">
        <v>1248</v>
      </c>
    </row>
    <row r="4" spans="2:12">
      <c r="B4" s="4">
        <f t="shared" ref="B4:B67" si="0">+B3</f>
        <v>2026</v>
      </c>
      <c r="C4" s="8" t="str">
        <f t="shared" ref="C4:C48" si="1">+C3</f>
        <v>Jan</v>
      </c>
      <c r="D4" s="8">
        <v>31</v>
      </c>
      <c r="E4" t="str">
        <f t="shared" ref="E4:H6" si="2">+E3</f>
        <v>SALES TO DISTRIBUTOR</v>
      </c>
      <c r="F4" s="4" t="str">
        <f t="shared" si="2"/>
        <v>DIRECT</v>
      </c>
      <c r="G4" t="str">
        <f t="shared" si="2"/>
        <v>DISTRIBUTOR</v>
      </c>
      <c r="H4" s="4" t="str">
        <f t="shared" si="2"/>
        <v>MENSA BINASUKSES</v>
      </c>
      <c r="I4" t="s">
        <v>45</v>
      </c>
      <c r="J4" t="s">
        <v>51</v>
      </c>
      <c r="K4" s="1">
        <v>22675128</v>
      </c>
      <c r="L4" s="7">
        <v>1704</v>
      </c>
    </row>
    <row r="5" spans="2:12">
      <c r="B5" s="4">
        <f t="shared" si="0"/>
        <v>2026</v>
      </c>
      <c r="C5" s="8" t="str">
        <f t="shared" si="1"/>
        <v>Jan</v>
      </c>
      <c r="D5" s="8">
        <v>31</v>
      </c>
      <c r="E5" t="str">
        <f t="shared" si="2"/>
        <v>SALES TO DISTRIBUTOR</v>
      </c>
      <c r="F5" s="4" t="str">
        <f t="shared" si="2"/>
        <v>DIRECT</v>
      </c>
      <c r="G5" t="str">
        <f t="shared" si="2"/>
        <v>DISTRIBUTOR</v>
      </c>
      <c r="H5" s="4" t="str">
        <f t="shared" si="2"/>
        <v>MENSA BINASUKSES</v>
      </c>
      <c r="I5" t="s">
        <v>46</v>
      </c>
      <c r="J5" t="s">
        <v>52</v>
      </c>
      <c r="K5" s="1">
        <v>293511864</v>
      </c>
      <c r="L5" s="7">
        <v>28488</v>
      </c>
    </row>
    <row r="6" spans="2:12">
      <c r="B6" s="4">
        <f t="shared" si="0"/>
        <v>2026</v>
      </c>
      <c r="C6" s="8" t="str">
        <f t="shared" si="1"/>
        <v>Jan</v>
      </c>
      <c r="D6" s="8">
        <v>31</v>
      </c>
      <c r="E6" t="str">
        <f t="shared" si="2"/>
        <v>SALES TO DISTRIBUTOR</v>
      </c>
      <c r="F6" s="4" t="str">
        <f t="shared" si="2"/>
        <v>DIRECT</v>
      </c>
      <c r="G6" t="str">
        <f t="shared" si="2"/>
        <v>DISTRIBUTOR</v>
      </c>
      <c r="H6" s="4" t="str">
        <f t="shared" si="2"/>
        <v>MENSA BINASUKSES</v>
      </c>
      <c r="I6" t="s">
        <v>47</v>
      </c>
      <c r="J6" t="s">
        <v>53</v>
      </c>
      <c r="K6" s="1">
        <v>48165984</v>
      </c>
      <c r="L6" s="7">
        <v>2784</v>
      </c>
    </row>
    <row r="7" spans="2:12">
      <c r="B7" s="4">
        <f t="shared" si="0"/>
        <v>2026</v>
      </c>
      <c r="C7" s="8" t="str">
        <f t="shared" si="1"/>
        <v>Jan</v>
      </c>
      <c r="D7" s="8">
        <v>31</v>
      </c>
      <c r="E7" t="s">
        <v>17</v>
      </c>
      <c r="F7" s="4" t="s">
        <v>0</v>
      </c>
      <c r="G7" t="s">
        <v>40</v>
      </c>
      <c r="H7" s="4" t="s">
        <v>20</v>
      </c>
      <c r="I7" t="s">
        <v>44</v>
      </c>
      <c r="J7" t="s">
        <v>50</v>
      </c>
      <c r="K7" s="1">
        <v>22280880</v>
      </c>
      <c r="L7" s="7">
        <v>3048</v>
      </c>
    </row>
    <row r="8" spans="2:12">
      <c r="B8" s="4">
        <f t="shared" si="0"/>
        <v>2026</v>
      </c>
      <c r="C8" s="8" t="str">
        <f t="shared" si="1"/>
        <v>Jan</v>
      </c>
      <c r="D8" s="8">
        <v>31</v>
      </c>
      <c r="E8" t="str">
        <f t="shared" ref="E8:E11" si="3">+E7</f>
        <v>SALES TO MARKET</v>
      </c>
      <c r="F8" s="4" t="str">
        <f t="shared" ref="F8:H10" si="4">+F7</f>
        <v>DIRECT</v>
      </c>
      <c r="G8" t="str">
        <f t="shared" si="4"/>
        <v>MTI</v>
      </c>
      <c r="H8" s="4" t="str">
        <f t="shared" si="4"/>
        <v>HYPERMART</v>
      </c>
      <c r="I8" t="s">
        <v>45</v>
      </c>
      <c r="J8" t="s">
        <v>51</v>
      </c>
      <c r="K8" s="1">
        <v>40847664</v>
      </c>
      <c r="L8" s="7">
        <v>2904</v>
      </c>
    </row>
    <row r="9" spans="2:12">
      <c r="B9" s="4">
        <f t="shared" si="0"/>
        <v>2026</v>
      </c>
      <c r="C9" s="8" t="str">
        <f t="shared" si="1"/>
        <v>Jan</v>
      </c>
      <c r="D9" s="8">
        <v>31</v>
      </c>
      <c r="E9" t="str">
        <f t="shared" si="3"/>
        <v>SALES TO MARKET</v>
      </c>
      <c r="F9" s="4" t="str">
        <f t="shared" si="4"/>
        <v>DIRECT</v>
      </c>
      <c r="G9" t="str">
        <f t="shared" si="4"/>
        <v>MTI</v>
      </c>
      <c r="H9" s="4" t="str">
        <f t="shared" si="4"/>
        <v>HYPERMART</v>
      </c>
      <c r="I9" t="s">
        <v>46</v>
      </c>
      <c r="J9" t="s">
        <v>52</v>
      </c>
      <c r="K9" s="1">
        <v>30974004</v>
      </c>
      <c r="L9" s="7">
        <v>2844</v>
      </c>
    </row>
    <row r="10" spans="2:12">
      <c r="B10" s="4">
        <f t="shared" si="0"/>
        <v>2026</v>
      </c>
      <c r="C10" s="8" t="str">
        <f t="shared" si="1"/>
        <v>Jan</v>
      </c>
      <c r="D10" s="8">
        <v>31</v>
      </c>
      <c r="E10" t="str">
        <f t="shared" si="3"/>
        <v>SALES TO MARKET</v>
      </c>
      <c r="F10" s="4" t="str">
        <f t="shared" si="4"/>
        <v>DIRECT</v>
      </c>
      <c r="G10" t="str">
        <f t="shared" si="4"/>
        <v>MTI</v>
      </c>
      <c r="H10" s="4" t="str">
        <f t="shared" si="4"/>
        <v>HYPERMART</v>
      </c>
      <c r="I10" t="s">
        <v>47</v>
      </c>
      <c r="J10" t="s">
        <v>53</v>
      </c>
      <c r="K10" s="1">
        <v>40162644</v>
      </c>
      <c r="L10" s="7">
        <v>2196</v>
      </c>
    </row>
    <row r="11" spans="2:12">
      <c r="B11" s="4">
        <f t="shared" si="0"/>
        <v>2026</v>
      </c>
      <c r="C11" s="8" t="str">
        <f t="shared" si="1"/>
        <v>Jan</v>
      </c>
      <c r="D11" s="8">
        <v>31</v>
      </c>
      <c r="E11" t="str">
        <f t="shared" si="3"/>
        <v>SALES TO MARKET</v>
      </c>
      <c r="F11" s="4" t="s">
        <v>10</v>
      </c>
      <c r="G11" t="s">
        <v>41</v>
      </c>
      <c r="H11" s="4" t="s">
        <v>22</v>
      </c>
      <c r="I11" t="s">
        <v>44</v>
      </c>
      <c r="J11" t="s">
        <v>50</v>
      </c>
      <c r="K11" s="3">
        <v>663840</v>
      </c>
      <c r="L11" s="6">
        <v>96</v>
      </c>
    </row>
    <row r="12" spans="2:12">
      <c r="B12" s="4">
        <f t="shared" si="0"/>
        <v>2026</v>
      </c>
      <c r="C12" s="8" t="str">
        <f t="shared" si="1"/>
        <v>Jan</v>
      </c>
      <c r="D12" s="8">
        <v>31</v>
      </c>
      <c r="E12" t="str">
        <f t="shared" ref="E12:H14" si="5">+E11</f>
        <v>SALES TO MARKET</v>
      </c>
      <c r="F12" s="4" t="str">
        <f t="shared" si="5"/>
        <v>MBS</v>
      </c>
      <c r="G12" t="str">
        <f t="shared" si="5"/>
        <v>NKA</v>
      </c>
      <c r="H12" s="4" t="str">
        <f t="shared" si="5"/>
        <v>ALFAMART</v>
      </c>
      <c r="I12" t="s">
        <v>45</v>
      </c>
      <c r="J12" t="s">
        <v>51</v>
      </c>
      <c r="K12" s="3">
        <v>319368</v>
      </c>
      <c r="L12" s="6">
        <v>24</v>
      </c>
    </row>
    <row r="13" spans="2:12">
      <c r="B13" s="4">
        <f t="shared" si="0"/>
        <v>2026</v>
      </c>
      <c r="C13" s="8" t="str">
        <f t="shared" si="1"/>
        <v>Jan</v>
      </c>
      <c r="D13" s="8">
        <v>31</v>
      </c>
      <c r="E13" t="str">
        <f t="shared" si="5"/>
        <v>SALES TO MARKET</v>
      </c>
      <c r="F13" s="4" t="str">
        <f t="shared" si="5"/>
        <v>MBS</v>
      </c>
      <c r="G13" t="str">
        <f t="shared" si="5"/>
        <v>NKA</v>
      </c>
      <c r="H13" s="4" t="str">
        <f t="shared" si="5"/>
        <v>ALFAMART</v>
      </c>
      <c r="I13" t="s">
        <v>46</v>
      </c>
      <c r="J13" t="s">
        <v>52</v>
      </c>
      <c r="K13" s="3">
        <v>141314349</v>
      </c>
      <c r="L13" s="6">
        <v>13715</v>
      </c>
    </row>
    <row r="14" spans="2:12">
      <c r="B14" s="4">
        <f t="shared" si="0"/>
        <v>2026</v>
      </c>
      <c r="C14" s="8" t="str">
        <f t="shared" si="1"/>
        <v>Jan</v>
      </c>
      <c r="D14" s="8">
        <v>31</v>
      </c>
      <c r="E14" t="str">
        <f t="shared" si="5"/>
        <v>SALES TO MARKET</v>
      </c>
      <c r="F14" s="4" t="str">
        <f t="shared" si="5"/>
        <v>MBS</v>
      </c>
      <c r="G14" t="str">
        <f t="shared" si="5"/>
        <v>NKA</v>
      </c>
      <c r="H14" s="4" t="str">
        <f t="shared" si="5"/>
        <v>ALFAMART</v>
      </c>
      <c r="I14" t="s">
        <v>47</v>
      </c>
      <c r="J14" t="s">
        <v>53</v>
      </c>
      <c r="K14" s="3">
        <v>1470585</v>
      </c>
      <c r="L14" s="6">
        <v>85</v>
      </c>
    </row>
    <row r="15" spans="2:12">
      <c r="B15" s="4">
        <f t="shared" si="0"/>
        <v>2026</v>
      </c>
      <c r="C15" s="8" t="str">
        <f t="shared" si="1"/>
        <v>Jan</v>
      </c>
      <c r="D15" s="8">
        <v>31</v>
      </c>
      <c r="E15" t="str">
        <f t="shared" ref="E15:G15" si="6">+E14</f>
        <v>SALES TO MARKET</v>
      </c>
      <c r="F15" s="4" t="str">
        <f t="shared" si="6"/>
        <v>MBS</v>
      </c>
      <c r="G15" t="str">
        <f t="shared" si="6"/>
        <v>NKA</v>
      </c>
      <c r="H15" s="4" t="s">
        <v>23</v>
      </c>
      <c r="I15" t="s">
        <v>45</v>
      </c>
      <c r="J15" t="s">
        <v>51</v>
      </c>
      <c r="K15" s="3">
        <v>15050217</v>
      </c>
      <c r="L15" s="6">
        <v>1131</v>
      </c>
    </row>
    <row r="16" spans="2:12">
      <c r="B16" s="4">
        <f t="shared" si="0"/>
        <v>2026</v>
      </c>
      <c r="C16" s="8" t="str">
        <f t="shared" si="1"/>
        <v>Jan</v>
      </c>
      <c r="D16" s="8">
        <v>31</v>
      </c>
      <c r="E16" t="str">
        <f t="shared" ref="E16:H17" si="7">+E15</f>
        <v>SALES TO MARKET</v>
      </c>
      <c r="F16" s="4" t="str">
        <f t="shared" si="7"/>
        <v>MBS</v>
      </c>
      <c r="G16" t="str">
        <f t="shared" si="7"/>
        <v>NKA</v>
      </c>
      <c r="H16" s="4" t="str">
        <f t="shared" si="7"/>
        <v>ALFAMIDI</v>
      </c>
      <c r="I16" t="s">
        <v>46</v>
      </c>
      <c r="J16" t="s">
        <v>52</v>
      </c>
      <c r="K16" s="3">
        <v>9684820</v>
      </c>
      <c r="L16" s="6">
        <v>940</v>
      </c>
    </row>
    <row r="17" spans="2:12">
      <c r="B17" s="4">
        <f t="shared" si="0"/>
        <v>2026</v>
      </c>
      <c r="C17" s="8" t="str">
        <f t="shared" si="1"/>
        <v>Jan</v>
      </c>
      <c r="D17" s="8">
        <v>31</v>
      </c>
      <c r="E17" t="str">
        <f t="shared" si="7"/>
        <v>SALES TO MARKET</v>
      </c>
      <c r="F17" s="4" t="str">
        <f t="shared" si="7"/>
        <v>MBS</v>
      </c>
      <c r="G17" t="str">
        <f t="shared" si="7"/>
        <v>NKA</v>
      </c>
      <c r="H17" s="4" t="str">
        <f t="shared" si="7"/>
        <v>ALFAMIDI</v>
      </c>
      <c r="I17" t="s">
        <v>47</v>
      </c>
      <c r="J17" t="s">
        <v>53</v>
      </c>
      <c r="K17" s="3">
        <v>16660863</v>
      </c>
      <c r="L17" s="6">
        <v>963</v>
      </c>
    </row>
    <row r="18" spans="2:12">
      <c r="B18" s="4">
        <f t="shared" si="0"/>
        <v>2026</v>
      </c>
      <c r="C18" s="8" t="str">
        <f t="shared" si="1"/>
        <v>Jan</v>
      </c>
      <c r="D18" s="8">
        <v>31</v>
      </c>
      <c r="E18" t="str">
        <f t="shared" ref="E18:G18" si="8">+E17</f>
        <v>SALES TO MARKET</v>
      </c>
      <c r="F18" s="4" t="str">
        <f t="shared" si="8"/>
        <v>MBS</v>
      </c>
      <c r="G18" t="str">
        <f t="shared" si="8"/>
        <v>NKA</v>
      </c>
      <c r="H18" s="4" t="s">
        <v>26</v>
      </c>
      <c r="I18" t="s">
        <v>45</v>
      </c>
      <c r="J18" t="s">
        <v>51</v>
      </c>
      <c r="K18" s="3">
        <v>-13307</v>
      </c>
      <c r="L18" s="6">
        <v>-1</v>
      </c>
    </row>
    <row r="19" spans="2:12">
      <c r="B19" s="4">
        <f t="shared" si="0"/>
        <v>2026</v>
      </c>
      <c r="C19" s="8" t="str">
        <f t="shared" si="1"/>
        <v>Jan</v>
      </c>
      <c r="D19" s="8">
        <v>31</v>
      </c>
      <c r="E19" t="str">
        <f t="shared" ref="E19:H20" si="9">+E18</f>
        <v>SALES TO MARKET</v>
      </c>
      <c r="F19" s="4" t="str">
        <f t="shared" si="9"/>
        <v>MBS</v>
      </c>
      <c r="G19" t="str">
        <f t="shared" si="9"/>
        <v>NKA</v>
      </c>
      <c r="H19" s="4" t="str">
        <f t="shared" si="9"/>
        <v>INDOGROSIR</v>
      </c>
      <c r="I19" t="s">
        <v>46</v>
      </c>
      <c r="J19" t="s">
        <v>52</v>
      </c>
      <c r="K19" s="3">
        <v>6171497</v>
      </c>
      <c r="L19" s="6">
        <v>599</v>
      </c>
    </row>
    <row r="20" spans="2:12">
      <c r="B20" s="4">
        <f t="shared" si="0"/>
        <v>2026</v>
      </c>
      <c r="C20" s="8" t="str">
        <f t="shared" si="1"/>
        <v>Jan</v>
      </c>
      <c r="D20" s="8">
        <v>31</v>
      </c>
      <c r="E20" t="str">
        <f t="shared" si="9"/>
        <v>SALES TO MARKET</v>
      </c>
      <c r="F20" s="4" t="str">
        <f t="shared" si="9"/>
        <v>MBS</v>
      </c>
      <c r="G20" t="str">
        <f t="shared" si="9"/>
        <v>NKA</v>
      </c>
      <c r="H20" s="4" t="str">
        <f t="shared" si="9"/>
        <v>INDOGROSIR</v>
      </c>
      <c r="I20" t="s">
        <v>47</v>
      </c>
      <c r="J20" t="s">
        <v>53</v>
      </c>
      <c r="K20" s="3">
        <v>1453284</v>
      </c>
      <c r="L20" s="6">
        <v>84</v>
      </c>
    </row>
    <row r="21" spans="2:12">
      <c r="B21" s="4">
        <f t="shared" si="0"/>
        <v>2026</v>
      </c>
      <c r="C21" s="8" t="str">
        <f t="shared" si="1"/>
        <v>Jan</v>
      </c>
      <c r="D21" s="8">
        <v>31</v>
      </c>
      <c r="E21" t="str">
        <f t="shared" ref="E21:G21" si="10">+E20</f>
        <v>SALES TO MARKET</v>
      </c>
      <c r="F21" s="4" t="str">
        <f t="shared" si="10"/>
        <v>MBS</v>
      </c>
      <c r="G21" t="str">
        <f t="shared" si="10"/>
        <v>NKA</v>
      </c>
      <c r="H21" s="4" t="s">
        <v>27</v>
      </c>
      <c r="I21" t="s">
        <v>45</v>
      </c>
      <c r="J21" t="s">
        <v>51</v>
      </c>
      <c r="K21" s="3">
        <v>-13307</v>
      </c>
      <c r="L21" s="6">
        <v>-1</v>
      </c>
    </row>
    <row r="22" spans="2:12">
      <c r="B22" s="4">
        <f t="shared" si="0"/>
        <v>2026</v>
      </c>
      <c r="C22" s="8" t="str">
        <f t="shared" si="1"/>
        <v>Jan</v>
      </c>
      <c r="D22" s="8">
        <v>31</v>
      </c>
      <c r="E22" t="str">
        <f t="shared" ref="E22:H23" si="11">+E21</f>
        <v>SALES TO MARKET</v>
      </c>
      <c r="F22" s="4" t="str">
        <f t="shared" si="11"/>
        <v>MBS</v>
      </c>
      <c r="G22" t="str">
        <f t="shared" si="11"/>
        <v>NKA</v>
      </c>
      <c r="H22" s="4" t="str">
        <f t="shared" si="11"/>
        <v>INDOMARET</v>
      </c>
      <c r="I22" t="s">
        <v>46</v>
      </c>
      <c r="J22" t="s">
        <v>52</v>
      </c>
      <c r="K22" s="3">
        <v>99517254</v>
      </c>
      <c r="L22" s="6">
        <v>9658</v>
      </c>
    </row>
    <row r="23" spans="2:12">
      <c r="B23" s="4">
        <f t="shared" si="0"/>
        <v>2026</v>
      </c>
      <c r="C23" s="8" t="str">
        <f t="shared" si="1"/>
        <v>Jan</v>
      </c>
      <c r="D23" s="8">
        <v>31</v>
      </c>
      <c r="E23" t="str">
        <f t="shared" si="11"/>
        <v>SALES TO MARKET</v>
      </c>
      <c r="F23" s="4" t="str">
        <f t="shared" si="11"/>
        <v>MBS</v>
      </c>
      <c r="G23" t="str">
        <f t="shared" si="11"/>
        <v>NKA</v>
      </c>
      <c r="H23" s="4" t="str">
        <f t="shared" si="11"/>
        <v>INDOMARET</v>
      </c>
      <c r="I23" t="s">
        <v>47</v>
      </c>
      <c r="J23" t="s">
        <v>53</v>
      </c>
      <c r="K23" s="3">
        <v>-86505</v>
      </c>
      <c r="L23" s="6">
        <v>-5</v>
      </c>
    </row>
    <row r="24" spans="2:12">
      <c r="B24" s="4">
        <f t="shared" si="0"/>
        <v>2026</v>
      </c>
      <c r="C24" s="8" t="str">
        <f t="shared" si="1"/>
        <v>Jan</v>
      </c>
      <c r="D24" s="8">
        <v>31</v>
      </c>
      <c r="E24" t="str">
        <f t="shared" ref="E24:G24" si="12">+E23</f>
        <v>SALES TO MARKET</v>
      </c>
      <c r="F24" s="4" t="str">
        <f t="shared" si="12"/>
        <v>MBS</v>
      </c>
      <c r="G24" t="str">
        <f t="shared" si="12"/>
        <v>NKA</v>
      </c>
      <c r="H24" s="4" t="s">
        <v>28</v>
      </c>
      <c r="I24" t="s">
        <v>46</v>
      </c>
      <c r="J24" t="s">
        <v>52</v>
      </c>
      <c r="K24" s="3">
        <v>3770898</v>
      </c>
      <c r="L24" s="6">
        <v>366</v>
      </c>
    </row>
    <row r="25" spans="2:12">
      <c r="B25" s="4">
        <f t="shared" si="0"/>
        <v>2026</v>
      </c>
      <c r="C25" s="8" t="str">
        <f t="shared" si="1"/>
        <v>Jan</v>
      </c>
      <c r="D25" s="8">
        <v>31</v>
      </c>
      <c r="E25" t="str">
        <f t="shared" ref="E25:H25" si="13">+E24</f>
        <v>SALES TO MARKET</v>
      </c>
      <c r="F25" s="4" t="str">
        <f t="shared" si="13"/>
        <v>MBS</v>
      </c>
      <c r="G25" t="str">
        <f t="shared" si="13"/>
        <v>NKA</v>
      </c>
      <c r="H25" s="4" t="str">
        <f t="shared" si="13"/>
        <v>LION SUPERINDO</v>
      </c>
      <c r="I25" t="s">
        <v>47</v>
      </c>
      <c r="J25" t="s">
        <v>53</v>
      </c>
      <c r="K25" s="3">
        <v>9031122</v>
      </c>
      <c r="L25" s="6">
        <v>522</v>
      </c>
    </row>
    <row r="26" spans="2:12">
      <c r="B26" s="4">
        <f t="shared" si="0"/>
        <v>2026</v>
      </c>
      <c r="C26" s="8" t="str">
        <f t="shared" si="1"/>
        <v>Jan</v>
      </c>
      <c r="D26" s="8">
        <v>31</v>
      </c>
      <c r="E26" t="str">
        <f t="shared" ref="E26:F26" si="14">+E25</f>
        <v>SALES TO MARKET</v>
      </c>
      <c r="F26" s="4" t="str">
        <f t="shared" si="14"/>
        <v>MBS</v>
      </c>
      <c r="G26" t="s">
        <v>42</v>
      </c>
      <c r="H26" s="4" t="s">
        <v>21</v>
      </c>
      <c r="I26" t="s">
        <v>46</v>
      </c>
      <c r="J26" t="s">
        <v>52</v>
      </c>
      <c r="K26" s="3">
        <v>123636</v>
      </c>
      <c r="L26" s="6">
        <v>12</v>
      </c>
    </row>
    <row r="27" spans="2:12">
      <c r="B27" s="4">
        <f t="shared" si="0"/>
        <v>2026</v>
      </c>
      <c r="C27" s="8" t="str">
        <f t="shared" si="1"/>
        <v>Jan</v>
      </c>
      <c r="D27" s="8">
        <v>31</v>
      </c>
      <c r="E27" t="str">
        <f t="shared" ref="E27:H27" si="15">+E26</f>
        <v>SALES TO MARKET</v>
      </c>
      <c r="F27" s="4" t="str">
        <f t="shared" si="15"/>
        <v>MBS</v>
      </c>
      <c r="G27" t="str">
        <f t="shared" si="15"/>
        <v>NON NKA</v>
      </c>
      <c r="H27" s="4" t="str">
        <f t="shared" si="15"/>
        <v>ADA SWALAYAN GROUP</v>
      </c>
      <c r="I27" t="s">
        <v>47</v>
      </c>
      <c r="J27" t="s">
        <v>53</v>
      </c>
      <c r="K27" s="3">
        <v>207612</v>
      </c>
      <c r="L27" s="6">
        <v>12</v>
      </c>
    </row>
    <row r="28" spans="2:12">
      <c r="B28" s="4">
        <f t="shared" si="0"/>
        <v>2026</v>
      </c>
      <c r="C28" s="8" t="str">
        <f t="shared" si="1"/>
        <v>Jan</v>
      </c>
      <c r="D28" s="8">
        <v>31</v>
      </c>
      <c r="E28" t="str">
        <f t="shared" ref="E28:G28" si="16">+E27</f>
        <v>SALES TO MARKET</v>
      </c>
      <c r="F28" s="4" t="str">
        <f t="shared" si="16"/>
        <v>MBS</v>
      </c>
      <c r="G28" t="str">
        <f t="shared" si="16"/>
        <v>NON NKA</v>
      </c>
      <c r="H28" s="4" t="s">
        <v>24</v>
      </c>
      <c r="I28" t="s">
        <v>44</v>
      </c>
      <c r="J28" t="s">
        <v>50</v>
      </c>
      <c r="K28" s="3">
        <v>1742580</v>
      </c>
      <c r="L28" s="6">
        <v>252</v>
      </c>
    </row>
    <row r="29" spans="2:12">
      <c r="B29" s="4">
        <f t="shared" si="0"/>
        <v>2026</v>
      </c>
      <c r="C29" s="8" t="str">
        <f t="shared" si="1"/>
        <v>Jan</v>
      </c>
      <c r="D29" s="8">
        <v>31</v>
      </c>
      <c r="E29" t="str">
        <f t="shared" ref="E29:H31" si="17">+E28</f>
        <v>SALES TO MARKET</v>
      </c>
      <c r="F29" s="4" t="str">
        <f t="shared" si="17"/>
        <v>MBS</v>
      </c>
      <c r="G29" t="str">
        <f t="shared" si="17"/>
        <v>NON NKA</v>
      </c>
      <c r="H29" s="4" t="str">
        <f t="shared" si="17"/>
        <v>BORMA GROUP</v>
      </c>
      <c r="I29" t="s">
        <v>45</v>
      </c>
      <c r="J29" t="s">
        <v>51</v>
      </c>
      <c r="K29" s="3">
        <v>3366671</v>
      </c>
      <c r="L29" s="6">
        <v>253</v>
      </c>
    </row>
    <row r="30" spans="2:12">
      <c r="B30" s="4">
        <f t="shared" si="0"/>
        <v>2026</v>
      </c>
      <c r="C30" s="8" t="str">
        <f t="shared" si="1"/>
        <v>Jan</v>
      </c>
      <c r="D30" s="8">
        <v>31</v>
      </c>
      <c r="E30" t="str">
        <f t="shared" si="17"/>
        <v>SALES TO MARKET</v>
      </c>
      <c r="F30" s="4" t="str">
        <f t="shared" si="17"/>
        <v>MBS</v>
      </c>
      <c r="G30" t="str">
        <f t="shared" si="17"/>
        <v>NON NKA</v>
      </c>
      <c r="H30" s="4" t="str">
        <f t="shared" si="17"/>
        <v>BORMA GROUP</v>
      </c>
      <c r="I30" t="s">
        <v>46</v>
      </c>
      <c r="J30" t="s">
        <v>52</v>
      </c>
      <c r="K30" s="3">
        <v>1741207</v>
      </c>
      <c r="L30" s="6">
        <v>169</v>
      </c>
    </row>
    <row r="31" spans="2:12">
      <c r="B31" s="4">
        <f t="shared" si="0"/>
        <v>2026</v>
      </c>
      <c r="C31" s="8" t="str">
        <f t="shared" si="1"/>
        <v>Jan</v>
      </c>
      <c r="D31" s="8">
        <v>31</v>
      </c>
      <c r="E31" t="str">
        <f t="shared" si="17"/>
        <v>SALES TO MARKET</v>
      </c>
      <c r="F31" s="4" t="str">
        <f t="shared" si="17"/>
        <v>MBS</v>
      </c>
      <c r="G31" t="str">
        <f t="shared" si="17"/>
        <v>NON NKA</v>
      </c>
      <c r="H31" s="4" t="str">
        <f t="shared" si="17"/>
        <v>BORMA GROUP</v>
      </c>
      <c r="I31" t="s">
        <v>47</v>
      </c>
      <c r="J31" t="s">
        <v>53</v>
      </c>
      <c r="K31" s="3">
        <v>3806220</v>
      </c>
      <c r="L31" s="6">
        <v>220</v>
      </c>
    </row>
    <row r="32" spans="2:12">
      <c r="B32" s="4">
        <f t="shared" si="0"/>
        <v>2026</v>
      </c>
      <c r="C32" s="8" t="str">
        <f t="shared" si="1"/>
        <v>Jan</v>
      </c>
      <c r="D32" s="8">
        <v>31</v>
      </c>
      <c r="E32" t="str">
        <f t="shared" ref="E32:G32" si="18">+E31</f>
        <v>SALES TO MARKET</v>
      </c>
      <c r="F32" s="4" t="str">
        <f t="shared" si="18"/>
        <v>MBS</v>
      </c>
      <c r="G32" t="str">
        <f t="shared" si="18"/>
        <v>NON NKA</v>
      </c>
      <c r="H32" s="4" t="s">
        <v>25</v>
      </c>
      <c r="I32" t="s">
        <v>44</v>
      </c>
      <c r="J32" t="s">
        <v>50</v>
      </c>
      <c r="K32" s="3">
        <v>-13830</v>
      </c>
      <c r="L32" s="6">
        <v>-2</v>
      </c>
    </row>
    <row r="33" spans="2:12">
      <c r="B33" s="4">
        <f t="shared" si="0"/>
        <v>2026</v>
      </c>
      <c r="C33" s="8" t="str">
        <f t="shared" si="1"/>
        <v>Jan</v>
      </c>
      <c r="D33" s="8">
        <v>31</v>
      </c>
      <c r="E33" t="str">
        <f t="shared" ref="E33:H34" si="19">+E32</f>
        <v>SALES TO MARKET</v>
      </c>
      <c r="F33" s="4" t="str">
        <f t="shared" si="19"/>
        <v>MBS</v>
      </c>
      <c r="G33" t="str">
        <f t="shared" si="19"/>
        <v>NON NKA</v>
      </c>
      <c r="H33" s="4" t="str">
        <f t="shared" si="19"/>
        <v>HARI-HARI GROUP</v>
      </c>
      <c r="I33" t="s">
        <v>46</v>
      </c>
      <c r="J33" t="s">
        <v>52</v>
      </c>
      <c r="K33" s="3">
        <v>-41212</v>
      </c>
      <c r="L33" s="6">
        <v>-4</v>
      </c>
    </row>
    <row r="34" spans="2:12">
      <c r="B34" s="4">
        <f t="shared" si="0"/>
        <v>2026</v>
      </c>
      <c r="C34" s="8" t="str">
        <f t="shared" si="1"/>
        <v>Jan</v>
      </c>
      <c r="D34" s="8">
        <v>31</v>
      </c>
      <c r="E34" t="str">
        <f t="shared" si="19"/>
        <v>SALES TO MARKET</v>
      </c>
      <c r="F34" s="4" t="str">
        <f t="shared" si="19"/>
        <v>MBS</v>
      </c>
      <c r="G34" t="str">
        <f t="shared" si="19"/>
        <v>NON NKA</v>
      </c>
      <c r="H34" s="4" t="str">
        <f t="shared" si="19"/>
        <v>HARI-HARI GROUP</v>
      </c>
      <c r="I34" t="s">
        <v>47</v>
      </c>
      <c r="J34" t="s">
        <v>53</v>
      </c>
      <c r="K34" s="3">
        <v>-69204</v>
      </c>
      <c r="L34" s="6">
        <v>-4</v>
      </c>
    </row>
    <row r="35" spans="2:12">
      <c r="B35" s="4">
        <f t="shared" si="0"/>
        <v>2026</v>
      </c>
      <c r="C35" s="8" t="str">
        <f t="shared" si="1"/>
        <v>Jan</v>
      </c>
      <c r="D35" s="8">
        <v>31</v>
      </c>
      <c r="E35" t="str">
        <f t="shared" ref="E35:G35" si="20">+E34</f>
        <v>SALES TO MARKET</v>
      </c>
      <c r="F35" s="4" t="str">
        <f t="shared" si="20"/>
        <v>MBS</v>
      </c>
      <c r="G35" t="str">
        <f t="shared" si="20"/>
        <v>NON NKA</v>
      </c>
      <c r="H35" s="4" t="s">
        <v>29</v>
      </c>
      <c r="I35" t="s">
        <v>44</v>
      </c>
      <c r="J35" t="s">
        <v>50</v>
      </c>
      <c r="K35" s="3">
        <v>290430</v>
      </c>
      <c r="L35" s="6">
        <v>42</v>
      </c>
    </row>
    <row r="36" spans="2:12">
      <c r="B36" s="4">
        <f t="shared" si="0"/>
        <v>2026</v>
      </c>
      <c r="C36" s="8" t="str">
        <f t="shared" si="1"/>
        <v>Jan</v>
      </c>
      <c r="D36" s="8">
        <v>31</v>
      </c>
      <c r="E36" t="str">
        <f t="shared" ref="E36:H38" si="21">+E35</f>
        <v>SALES TO MARKET</v>
      </c>
      <c r="F36" s="4" t="str">
        <f t="shared" si="21"/>
        <v>MBS</v>
      </c>
      <c r="G36" t="str">
        <f t="shared" si="21"/>
        <v>NON NKA</v>
      </c>
      <c r="H36" s="4" t="str">
        <f t="shared" si="21"/>
        <v>NAGA SWALAYAN GROUP</v>
      </c>
      <c r="I36" t="s">
        <v>45</v>
      </c>
      <c r="J36" t="s">
        <v>51</v>
      </c>
      <c r="K36" s="3">
        <v>598815</v>
      </c>
      <c r="L36" s="6">
        <v>45</v>
      </c>
    </row>
    <row r="37" spans="2:12">
      <c r="B37" s="4">
        <f t="shared" si="0"/>
        <v>2026</v>
      </c>
      <c r="C37" s="8" t="str">
        <f t="shared" si="1"/>
        <v>Jan</v>
      </c>
      <c r="D37" s="8">
        <v>31</v>
      </c>
      <c r="E37" t="str">
        <f t="shared" si="21"/>
        <v>SALES TO MARKET</v>
      </c>
      <c r="F37" s="4" t="str">
        <f t="shared" si="21"/>
        <v>MBS</v>
      </c>
      <c r="G37" t="str">
        <f t="shared" si="21"/>
        <v>NON NKA</v>
      </c>
      <c r="H37" s="4" t="str">
        <f t="shared" si="21"/>
        <v>NAGA SWALAYAN GROUP</v>
      </c>
      <c r="I37" t="s">
        <v>46</v>
      </c>
      <c r="J37" t="s">
        <v>52</v>
      </c>
      <c r="K37" s="3">
        <v>309090</v>
      </c>
      <c r="L37" s="6">
        <v>30</v>
      </c>
    </row>
    <row r="38" spans="2:12">
      <c r="B38" s="4">
        <f t="shared" si="0"/>
        <v>2026</v>
      </c>
      <c r="C38" s="8" t="str">
        <f t="shared" si="1"/>
        <v>Jan</v>
      </c>
      <c r="D38" s="8">
        <v>31</v>
      </c>
      <c r="E38" t="str">
        <f t="shared" si="21"/>
        <v>SALES TO MARKET</v>
      </c>
      <c r="F38" s="4" t="str">
        <f t="shared" si="21"/>
        <v>MBS</v>
      </c>
      <c r="G38" t="str">
        <f t="shared" si="21"/>
        <v>NON NKA</v>
      </c>
      <c r="H38" s="4" t="str">
        <f t="shared" si="21"/>
        <v>NAGA SWALAYAN GROUP</v>
      </c>
      <c r="I38" t="s">
        <v>47</v>
      </c>
      <c r="J38" t="s">
        <v>53</v>
      </c>
      <c r="K38" s="3">
        <v>1020759</v>
      </c>
      <c r="L38" s="6">
        <v>59</v>
      </c>
    </row>
    <row r="39" spans="2:12">
      <c r="B39" s="4">
        <f t="shared" si="0"/>
        <v>2026</v>
      </c>
      <c r="C39" s="8" t="str">
        <f t="shared" si="1"/>
        <v>Jan</v>
      </c>
      <c r="D39" s="8">
        <v>31</v>
      </c>
      <c r="E39" t="str">
        <f t="shared" ref="E39:G39" si="22">+E38</f>
        <v>SALES TO MARKET</v>
      </c>
      <c r="F39" s="4" t="str">
        <f t="shared" si="22"/>
        <v>MBS</v>
      </c>
      <c r="G39" t="str">
        <f t="shared" si="22"/>
        <v>NON NKA</v>
      </c>
      <c r="H39" s="4" t="s">
        <v>30</v>
      </c>
      <c r="I39" t="s">
        <v>44</v>
      </c>
      <c r="J39" t="s">
        <v>50</v>
      </c>
      <c r="K39" s="3">
        <v>1154805</v>
      </c>
      <c r="L39" s="6">
        <v>167</v>
      </c>
    </row>
    <row r="40" spans="2:12">
      <c r="B40" s="4">
        <f t="shared" si="0"/>
        <v>2026</v>
      </c>
      <c r="C40" s="8" t="str">
        <f t="shared" si="1"/>
        <v>Jan</v>
      </c>
      <c r="D40" s="8">
        <v>31</v>
      </c>
      <c r="E40" t="str">
        <f t="shared" ref="E40:H43" si="23">+E39</f>
        <v>SALES TO MARKET</v>
      </c>
      <c r="F40" s="4" t="str">
        <f t="shared" si="23"/>
        <v>MBS</v>
      </c>
      <c r="G40" t="str">
        <f t="shared" si="23"/>
        <v>NON NKA</v>
      </c>
      <c r="H40" s="4" t="str">
        <f t="shared" si="23"/>
        <v>OTHERS</v>
      </c>
      <c r="I40" t="s">
        <v>45</v>
      </c>
      <c r="J40" t="s">
        <v>51</v>
      </c>
      <c r="K40" s="3">
        <v>7957586</v>
      </c>
      <c r="L40" s="6">
        <v>598</v>
      </c>
    </row>
    <row r="41" spans="2:12">
      <c r="B41" s="4">
        <f t="shared" si="0"/>
        <v>2026</v>
      </c>
      <c r="C41" s="8" t="str">
        <f t="shared" si="1"/>
        <v>Jan</v>
      </c>
      <c r="D41" s="8">
        <v>31</v>
      </c>
      <c r="E41" t="str">
        <f t="shared" si="23"/>
        <v>SALES TO MARKET</v>
      </c>
      <c r="F41" s="4" t="str">
        <f t="shared" si="23"/>
        <v>MBS</v>
      </c>
      <c r="G41" t="str">
        <f t="shared" si="23"/>
        <v>NON NKA</v>
      </c>
      <c r="H41" s="4" t="str">
        <f t="shared" si="23"/>
        <v>OTHERS</v>
      </c>
      <c r="I41" t="s">
        <v>45</v>
      </c>
      <c r="J41" t="s">
        <v>51</v>
      </c>
      <c r="K41" s="3">
        <v>1</v>
      </c>
      <c r="L41" s="6">
        <v>1</v>
      </c>
    </row>
    <row r="42" spans="2:12">
      <c r="B42" s="4">
        <f t="shared" si="0"/>
        <v>2026</v>
      </c>
      <c r="C42" s="8" t="str">
        <f t="shared" si="1"/>
        <v>Jan</v>
      </c>
      <c r="D42" s="8">
        <v>31</v>
      </c>
      <c r="E42" t="str">
        <f t="shared" si="23"/>
        <v>SALES TO MARKET</v>
      </c>
      <c r="F42" s="4" t="str">
        <f t="shared" si="23"/>
        <v>MBS</v>
      </c>
      <c r="G42" t="str">
        <f t="shared" si="23"/>
        <v>NON NKA</v>
      </c>
      <c r="H42" s="4" t="str">
        <f t="shared" si="23"/>
        <v>OTHERS</v>
      </c>
      <c r="I42" t="s">
        <v>46</v>
      </c>
      <c r="J42" t="s">
        <v>52</v>
      </c>
      <c r="K42" s="3">
        <v>9349173</v>
      </c>
      <c r="L42" s="6">
        <v>907</v>
      </c>
    </row>
    <row r="43" spans="2:12">
      <c r="B43" s="4">
        <f t="shared" si="0"/>
        <v>2026</v>
      </c>
      <c r="C43" s="8" t="str">
        <f t="shared" si="1"/>
        <v>Jan</v>
      </c>
      <c r="D43" s="8">
        <v>31</v>
      </c>
      <c r="E43" t="str">
        <f t="shared" si="23"/>
        <v>SALES TO MARKET</v>
      </c>
      <c r="F43" s="4" t="str">
        <f t="shared" si="23"/>
        <v>MBS</v>
      </c>
      <c r="G43" t="str">
        <f t="shared" si="23"/>
        <v>NON NKA</v>
      </c>
      <c r="H43" s="4" t="str">
        <f t="shared" si="23"/>
        <v>OTHERS</v>
      </c>
      <c r="I43" t="s">
        <v>47</v>
      </c>
      <c r="J43" t="s">
        <v>53</v>
      </c>
      <c r="K43" s="3">
        <v>6557079</v>
      </c>
      <c r="L43" s="6">
        <v>379</v>
      </c>
    </row>
    <row r="44" spans="2:12">
      <c r="B44" s="4">
        <f t="shared" si="0"/>
        <v>2026</v>
      </c>
      <c r="C44" s="8" t="str">
        <f t="shared" si="1"/>
        <v>Jan</v>
      </c>
      <c r="D44" s="8">
        <v>31</v>
      </c>
      <c r="E44" t="str">
        <f t="shared" ref="E44:G44" si="24">+E43</f>
        <v>SALES TO MARKET</v>
      </c>
      <c r="F44" s="4" t="str">
        <f t="shared" si="24"/>
        <v>MBS</v>
      </c>
      <c r="G44" t="str">
        <f t="shared" si="24"/>
        <v>NON NKA</v>
      </c>
      <c r="H44" s="4" t="s">
        <v>31</v>
      </c>
      <c r="I44" t="s">
        <v>44</v>
      </c>
      <c r="J44" t="s">
        <v>50</v>
      </c>
      <c r="K44" s="3">
        <v>1161720</v>
      </c>
      <c r="L44" s="6">
        <v>168</v>
      </c>
    </row>
    <row r="45" spans="2:12">
      <c r="B45" s="4">
        <f t="shared" si="0"/>
        <v>2026</v>
      </c>
      <c r="C45" s="8" t="str">
        <f t="shared" si="1"/>
        <v>Jan</v>
      </c>
      <c r="D45" s="8">
        <v>31</v>
      </c>
      <c r="E45" t="str">
        <f t="shared" ref="E45:H46" si="25">+E44</f>
        <v>SALES TO MARKET</v>
      </c>
      <c r="F45" s="4" t="str">
        <f t="shared" si="25"/>
        <v>MBS</v>
      </c>
      <c r="G45" t="str">
        <f t="shared" si="25"/>
        <v>NON NKA</v>
      </c>
      <c r="H45" s="4" t="str">
        <f t="shared" si="25"/>
        <v>TIP-TOP SWALAYAN GROUP</v>
      </c>
      <c r="I45" t="s">
        <v>45</v>
      </c>
      <c r="J45" t="s">
        <v>51</v>
      </c>
      <c r="K45" s="3">
        <v>2554944</v>
      </c>
      <c r="L45" s="6">
        <v>192</v>
      </c>
    </row>
    <row r="46" spans="2:12">
      <c r="B46" s="4">
        <f t="shared" si="0"/>
        <v>2026</v>
      </c>
      <c r="C46" s="8" t="str">
        <f t="shared" si="1"/>
        <v>Jan</v>
      </c>
      <c r="D46" s="8">
        <v>31</v>
      </c>
      <c r="E46" t="str">
        <f t="shared" si="25"/>
        <v>SALES TO MARKET</v>
      </c>
      <c r="F46" s="4" t="str">
        <f t="shared" si="25"/>
        <v>MBS</v>
      </c>
      <c r="G46" t="str">
        <f t="shared" si="25"/>
        <v>NON NKA</v>
      </c>
      <c r="H46" s="4" t="str">
        <f t="shared" si="25"/>
        <v>TIP-TOP SWALAYAN GROUP</v>
      </c>
      <c r="I46" t="s">
        <v>47</v>
      </c>
      <c r="J46" t="s">
        <v>53</v>
      </c>
      <c r="K46" s="3">
        <v>3062277</v>
      </c>
      <c r="L46" s="6">
        <v>177</v>
      </c>
    </row>
    <row r="47" spans="2:12">
      <c r="B47" s="4">
        <f t="shared" si="0"/>
        <v>2026</v>
      </c>
      <c r="C47" s="8" t="str">
        <f t="shared" si="1"/>
        <v>Jan</v>
      </c>
      <c r="D47" s="8">
        <v>31</v>
      </c>
      <c r="E47" t="str">
        <f t="shared" ref="E47:G47" si="26">+E46</f>
        <v>SALES TO MARKET</v>
      </c>
      <c r="F47" s="4" t="str">
        <f t="shared" si="26"/>
        <v>MBS</v>
      </c>
      <c r="G47" t="str">
        <f t="shared" si="26"/>
        <v>NON NKA</v>
      </c>
      <c r="H47" s="4" t="s">
        <v>32</v>
      </c>
      <c r="I47" t="s">
        <v>45</v>
      </c>
      <c r="J47" t="s">
        <v>51</v>
      </c>
      <c r="K47" s="3">
        <v>638736</v>
      </c>
      <c r="L47" s="6">
        <v>48</v>
      </c>
    </row>
    <row r="48" spans="2:12">
      <c r="B48" s="4">
        <f t="shared" si="0"/>
        <v>2026</v>
      </c>
      <c r="C48" s="8" t="str">
        <f t="shared" si="1"/>
        <v>Jan</v>
      </c>
      <c r="D48" s="8">
        <v>31</v>
      </c>
      <c r="E48" t="str">
        <f t="shared" ref="E48:H48" si="27">+E47</f>
        <v>SALES TO MARKET</v>
      </c>
      <c r="F48" s="4" t="str">
        <f t="shared" si="27"/>
        <v>MBS</v>
      </c>
      <c r="G48" t="str">
        <f t="shared" si="27"/>
        <v>NON NKA</v>
      </c>
      <c r="H48" s="4" t="str">
        <f t="shared" si="27"/>
        <v>YOGYA GROUP</v>
      </c>
      <c r="I48" t="s">
        <v>46</v>
      </c>
      <c r="J48" t="s">
        <v>52</v>
      </c>
      <c r="K48" s="3">
        <v>1112724</v>
      </c>
      <c r="L48" s="6">
        <v>108</v>
      </c>
    </row>
    <row r="49" spans="2:12">
      <c r="B49" s="4">
        <f t="shared" si="0"/>
        <v>2026</v>
      </c>
      <c r="C49" s="8" t="s">
        <v>3</v>
      </c>
      <c r="D49" s="8">
        <v>28</v>
      </c>
      <c r="E49" t="s">
        <v>16</v>
      </c>
      <c r="F49" s="4" t="s">
        <v>0</v>
      </c>
      <c r="G49" t="s">
        <v>39</v>
      </c>
      <c r="H49" s="4" t="s">
        <v>19</v>
      </c>
      <c r="I49" t="s">
        <v>44</v>
      </c>
      <c r="J49" t="s">
        <v>50</v>
      </c>
      <c r="K49" s="1">
        <v>5808600</v>
      </c>
      <c r="L49" s="7">
        <v>840</v>
      </c>
    </row>
    <row r="50" spans="2:12">
      <c r="B50" s="4">
        <f t="shared" si="0"/>
        <v>2026</v>
      </c>
      <c r="C50" s="8" t="str">
        <f t="shared" ref="C50:C81" si="28">+C49</f>
        <v>Feb</v>
      </c>
      <c r="D50" s="8">
        <v>28</v>
      </c>
      <c r="E50" t="str">
        <f t="shared" ref="E50:H52" si="29">+E49</f>
        <v>SALES TO DISTRIBUTOR</v>
      </c>
      <c r="F50" s="4" t="str">
        <f t="shared" si="29"/>
        <v>DIRECT</v>
      </c>
      <c r="G50" t="str">
        <f t="shared" si="29"/>
        <v>DISTRIBUTOR</v>
      </c>
      <c r="H50" s="4" t="str">
        <f t="shared" si="29"/>
        <v>MENSA BINASUKSES</v>
      </c>
      <c r="I50" t="s">
        <v>45</v>
      </c>
      <c r="J50" t="s">
        <v>51</v>
      </c>
      <c r="K50" s="1">
        <v>29381856</v>
      </c>
      <c r="L50" s="7">
        <v>2208</v>
      </c>
    </row>
    <row r="51" spans="2:12">
      <c r="B51" s="4">
        <f t="shared" si="0"/>
        <v>2026</v>
      </c>
      <c r="C51" s="8" t="str">
        <f t="shared" si="28"/>
        <v>Feb</v>
      </c>
      <c r="D51" s="8">
        <v>28</v>
      </c>
      <c r="E51" t="str">
        <f t="shared" si="29"/>
        <v>SALES TO DISTRIBUTOR</v>
      </c>
      <c r="F51" s="4" t="str">
        <f t="shared" si="29"/>
        <v>DIRECT</v>
      </c>
      <c r="G51" t="str">
        <f t="shared" si="29"/>
        <v>DISTRIBUTOR</v>
      </c>
      <c r="H51" s="4" t="str">
        <f t="shared" si="29"/>
        <v>MENSA BINASUKSES</v>
      </c>
      <c r="I51" t="s">
        <v>46</v>
      </c>
      <c r="J51" t="s">
        <v>52</v>
      </c>
      <c r="K51" s="1">
        <v>256421064</v>
      </c>
      <c r="L51" s="7">
        <v>24888</v>
      </c>
    </row>
    <row r="52" spans="2:12">
      <c r="B52" s="4">
        <f t="shared" si="0"/>
        <v>2026</v>
      </c>
      <c r="C52" s="8" t="str">
        <f t="shared" si="28"/>
        <v>Feb</v>
      </c>
      <c r="D52" s="8">
        <v>28</v>
      </c>
      <c r="E52" t="str">
        <f t="shared" si="29"/>
        <v>SALES TO DISTRIBUTOR</v>
      </c>
      <c r="F52" s="4" t="str">
        <f t="shared" si="29"/>
        <v>DIRECT</v>
      </c>
      <c r="G52" t="str">
        <f t="shared" si="29"/>
        <v>DISTRIBUTOR</v>
      </c>
      <c r="H52" s="4" t="str">
        <f t="shared" si="29"/>
        <v>MENSA BINASUKSES</v>
      </c>
      <c r="I52" t="s">
        <v>47</v>
      </c>
      <c r="J52" t="s">
        <v>53</v>
      </c>
      <c r="K52" s="1">
        <v>93010176</v>
      </c>
      <c r="L52" s="7">
        <v>5376</v>
      </c>
    </row>
    <row r="53" spans="2:12">
      <c r="B53" s="4">
        <f t="shared" si="0"/>
        <v>2026</v>
      </c>
      <c r="C53" s="8" t="str">
        <f t="shared" si="28"/>
        <v>Feb</v>
      </c>
      <c r="D53" s="8">
        <v>28</v>
      </c>
      <c r="E53" t="s">
        <v>17</v>
      </c>
      <c r="F53" s="4" t="s">
        <v>0</v>
      </c>
      <c r="G53" t="s">
        <v>40</v>
      </c>
      <c r="H53" s="4" t="s">
        <v>20</v>
      </c>
      <c r="I53" t="s">
        <v>44</v>
      </c>
      <c r="J53" t="s">
        <v>50</v>
      </c>
      <c r="K53" s="1">
        <v>526320</v>
      </c>
      <c r="L53" s="7">
        <v>72</v>
      </c>
    </row>
    <row r="54" spans="2:12">
      <c r="B54" s="4">
        <f t="shared" si="0"/>
        <v>2026</v>
      </c>
      <c r="C54" s="8" t="str">
        <f t="shared" si="28"/>
        <v>Feb</v>
      </c>
      <c r="D54" s="8">
        <v>28</v>
      </c>
      <c r="E54" t="str">
        <f t="shared" ref="E54:E67" si="30">+E53</f>
        <v>SALES TO MARKET</v>
      </c>
      <c r="F54" s="4" t="str">
        <f t="shared" ref="F54:H56" si="31">+F53</f>
        <v>DIRECT</v>
      </c>
      <c r="G54" t="str">
        <f t="shared" si="31"/>
        <v>MTI</v>
      </c>
      <c r="H54" s="4" t="str">
        <f t="shared" si="31"/>
        <v>HYPERMART</v>
      </c>
      <c r="I54" t="s">
        <v>45</v>
      </c>
      <c r="J54" t="s">
        <v>51</v>
      </c>
      <c r="K54" s="1">
        <v>1687920</v>
      </c>
      <c r="L54" s="7">
        <v>120</v>
      </c>
    </row>
    <row r="55" spans="2:12">
      <c r="B55" s="4">
        <f t="shared" si="0"/>
        <v>2026</v>
      </c>
      <c r="C55" s="8" t="str">
        <f t="shared" si="28"/>
        <v>Feb</v>
      </c>
      <c r="D55" s="8">
        <v>28</v>
      </c>
      <c r="E55" t="str">
        <f t="shared" si="30"/>
        <v>SALES TO MARKET</v>
      </c>
      <c r="F55" s="4" t="str">
        <f t="shared" si="31"/>
        <v>DIRECT</v>
      </c>
      <c r="G55" t="str">
        <f t="shared" si="31"/>
        <v>MTI</v>
      </c>
      <c r="H55" s="4" t="str">
        <f t="shared" si="31"/>
        <v>HYPERMART</v>
      </c>
      <c r="I55" t="s">
        <v>46</v>
      </c>
      <c r="J55" t="s">
        <v>52</v>
      </c>
      <c r="K55" s="1">
        <v>261384</v>
      </c>
      <c r="L55" s="7">
        <v>24</v>
      </c>
    </row>
    <row r="56" spans="2:12">
      <c r="B56" s="4">
        <f t="shared" si="0"/>
        <v>2026</v>
      </c>
      <c r="C56" s="8" t="str">
        <f t="shared" si="28"/>
        <v>Feb</v>
      </c>
      <c r="D56" s="8">
        <v>28</v>
      </c>
      <c r="E56" t="str">
        <f t="shared" si="30"/>
        <v>SALES TO MARKET</v>
      </c>
      <c r="F56" s="4" t="str">
        <f t="shared" si="31"/>
        <v>DIRECT</v>
      </c>
      <c r="G56" t="str">
        <f t="shared" si="31"/>
        <v>MTI</v>
      </c>
      <c r="H56" s="4" t="str">
        <f t="shared" si="31"/>
        <v>HYPERMART</v>
      </c>
      <c r="I56" t="s">
        <v>47</v>
      </c>
      <c r="J56" t="s">
        <v>53</v>
      </c>
      <c r="K56" s="1">
        <v>438936</v>
      </c>
      <c r="L56" s="7">
        <v>24</v>
      </c>
    </row>
    <row r="57" spans="2:12">
      <c r="B57" s="4">
        <f t="shared" si="0"/>
        <v>2026</v>
      </c>
      <c r="C57" s="8" t="str">
        <f t="shared" si="28"/>
        <v>Feb</v>
      </c>
      <c r="D57" s="8">
        <v>28</v>
      </c>
      <c r="E57" t="str">
        <f t="shared" si="30"/>
        <v>SALES TO MARKET</v>
      </c>
      <c r="F57" s="4" t="str">
        <f t="shared" ref="F57:G57" si="32">+F56</f>
        <v>DIRECT</v>
      </c>
      <c r="G57" t="str">
        <f t="shared" si="32"/>
        <v>MTI</v>
      </c>
      <c r="H57" s="4" t="s">
        <v>33</v>
      </c>
      <c r="I57" t="s">
        <v>48</v>
      </c>
      <c r="J57" t="s">
        <v>54</v>
      </c>
      <c r="K57" s="1">
        <v>1229832</v>
      </c>
      <c r="L57" s="7">
        <v>72</v>
      </c>
    </row>
    <row r="58" spans="2:12">
      <c r="B58" s="4">
        <f t="shared" si="0"/>
        <v>2026</v>
      </c>
      <c r="C58" s="8" t="str">
        <f t="shared" si="28"/>
        <v>Feb</v>
      </c>
      <c r="D58" s="8">
        <v>28</v>
      </c>
      <c r="E58" t="str">
        <f t="shared" si="30"/>
        <v>SALES TO MARKET</v>
      </c>
      <c r="F58" s="4" t="str">
        <f t="shared" ref="F58:H62" si="33">+F57</f>
        <v>DIRECT</v>
      </c>
      <c r="G58" t="str">
        <f t="shared" si="33"/>
        <v>MTI</v>
      </c>
      <c r="H58" s="4" t="str">
        <f t="shared" si="33"/>
        <v>KEDAI MART</v>
      </c>
      <c r="I58" t="s">
        <v>49</v>
      </c>
      <c r="J58" t="s">
        <v>55</v>
      </c>
      <c r="K58" s="1">
        <v>1401048</v>
      </c>
      <c r="L58" s="7">
        <v>72</v>
      </c>
    </row>
    <row r="59" spans="2:12">
      <c r="B59" s="4">
        <f t="shared" si="0"/>
        <v>2026</v>
      </c>
      <c r="C59" s="8" t="str">
        <f t="shared" si="28"/>
        <v>Feb</v>
      </c>
      <c r="D59" s="8">
        <v>28</v>
      </c>
      <c r="E59" t="str">
        <f t="shared" si="30"/>
        <v>SALES TO MARKET</v>
      </c>
      <c r="F59" s="4" t="str">
        <f t="shared" si="33"/>
        <v>DIRECT</v>
      </c>
      <c r="G59" t="str">
        <f t="shared" si="33"/>
        <v>MTI</v>
      </c>
      <c r="H59" s="4" t="str">
        <f t="shared" si="33"/>
        <v>KEDAI MART</v>
      </c>
      <c r="I59" t="s">
        <v>44</v>
      </c>
      <c r="J59" t="s">
        <v>50</v>
      </c>
      <c r="K59" s="1">
        <v>333792</v>
      </c>
      <c r="L59" s="7">
        <v>48</v>
      </c>
    </row>
    <row r="60" spans="2:12">
      <c r="B60" s="4">
        <f t="shared" si="0"/>
        <v>2026</v>
      </c>
      <c r="C60" s="8" t="str">
        <f t="shared" si="28"/>
        <v>Feb</v>
      </c>
      <c r="D60" s="8">
        <v>28</v>
      </c>
      <c r="E60" t="str">
        <f t="shared" si="30"/>
        <v>SALES TO MARKET</v>
      </c>
      <c r="F60" s="4" t="str">
        <f t="shared" si="33"/>
        <v>DIRECT</v>
      </c>
      <c r="G60" t="str">
        <f t="shared" si="33"/>
        <v>MTI</v>
      </c>
      <c r="H60" s="4" t="str">
        <f t="shared" si="33"/>
        <v>KEDAI MART</v>
      </c>
      <c r="I60" t="s">
        <v>45</v>
      </c>
      <c r="J60" t="s">
        <v>51</v>
      </c>
      <c r="K60" s="1">
        <v>642336</v>
      </c>
      <c r="L60" s="7">
        <v>48</v>
      </c>
    </row>
    <row r="61" spans="2:12">
      <c r="B61" s="4">
        <f t="shared" si="0"/>
        <v>2026</v>
      </c>
      <c r="C61" s="8" t="str">
        <f t="shared" si="28"/>
        <v>Feb</v>
      </c>
      <c r="D61" s="8">
        <v>28</v>
      </c>
      <c r="E61" t="str">
        <f t="shared" si="30"/>
        <v>SALES TO MARKET</v>
      </c>
      <c r="F61" s="4" t="str">
        <f t="shared" si="33"/>
        <v>DIRECT</v>
      </c>
      <c r="G61" t="str">
        <f t="shared" si="33"/>
        <v>MTI</v>
      </c>
      <c r="H61" s="4" t="str">
        <f t="shared" si="33"/>
        <v>KEDAI MART</v>
      </c>
      <c r="I61" t="s">
        <v>46</v>
      </c>
      <c r="J61" t="s">
        <v>52</v>
      </c>
      <c r="K61" s="1">
        <v>248664</v>
      </c>
      <c r="L61" s="7">
        <v>24</v>
      </c>
    </row>
    <row r="62" spans="2:12">
      <c r="B62" s="4">
        <f t="shared" si="0"/>
        <v>2026</v>
      </c>
      <c r="C62" s="8" t="str">
        <f t="shared" si="28"/>
        <v>Feb</v>
      </c>
      <c r="D62" s="8">
        <v>28</v>
      </c>
      <c r="E62" t="str">
        <f t="shared" si="30"/>
        <v>SALES TO MARKET</v>
      </c>
      <c r="F62" s="4" t="str">
        <f t="shared" si="33"/>
        <v>DIRECT</v>
      </c>
      <c r="G62" t="str">
        <f t="shared" si="33"/>
        <v>MTI</v>
      </c>
      <c r="H62" s="4" t="str">
        <f t="shared" si="33"/>
        <v>KEDAI MART</v>
      </c>
      <c r="I62" t="s">
        <v>47</v>
      </c>
      <c r="J62" t="s">
        <v>53</v>
      </c>
      <c r="K62" s="1">
        <v>417570.96</v>
      </c>
      <c r="L62" s="7">
        <v>24</v>
      </c>
    </row>
    <row r="63" spans="2:12">
      <c r="B63" s="4">
        <f t="shared" si="0"/>
        <v>2026</v>
      </c>
      <c r="C63" s="8" t="str">
        <f t="shared" si="28"/>
        <v>Feb</v>
      </c>
      <c r="D63" s="8">
        <v>28</v>
      </c>
      <c r="E63" t="str">
        <f t="shared" si="30"/>
        <v>SALES TO MARKET</v>
      </c>
      <c r="F63" s="4" t="str">
        <f t="shared" ref="F63:G63" si="34">+F62</f>
        <v>DIRECT</v>
      </c>
      <c r="G63" t="str">
        <f t="shared" si="34"/>
        <v>MTI</v>
      </c>
      <c r="H63" s="4" t="s">
        <v>30</v>
      </c>
      <c r="I63" t="s">
        <v>44</v>
      </c>
      <c r="J63" t="s">
        <v>50</v>
      </c>
      <c r="K63" s="1">
        <v>385968</v>
      </c>
      <c r="L63" s="7">
        <v>48</v>
      </c>
    </row>
    <row r="64" spans="2:12">
      <c r="B64" s="4">
        <f t="shared" si="0"/>
        <v>2026</v>
      </c>
      <c r="C64" s="8" t="str">
        <f t="shared" si="28"/>
        <v>Feb</v>
      </c>
      <c r="D64" s="8">
        <v>28</v>
      </c>
      <c r="E64" t="str">
        <f t="shared" si="30"/>
        <v>SALES TO MARKET</v>
      </c>
      <c r="F64" s="4" t="str">
        <f t="shared" ref="F64:H66" si="35">+F63</f>
        <v>DIRECT</v>
      </c>
      <c r="G64" t="str">
        <f t="shared" si="35"/>
        <v>MTI</v>
      </c>
      <c r="H64" s="4" t="str">
        <f t="shared" si="35"/>
        <v>OTHERS</v>
      </c>
      <c r="I64" t="s">
        <v>45</v>
      </c>
      <c r="J64" t="s">
        <v>51</v>
      </c>
      <c r="K64" s="1">
        <v>742704</v>
      </c>
      <c r="L64" s="7">
        <v>48</v>
      </c>
    </row>
    <row r="65" spans="2:12">
      <c r="B65" s="4">
        <f t="shared" si="0"/>
        <v>2026</v>
      </c>
      <c r="C65" s="8" t="str">
        <f t="shared" si="28"/>
        <v>Feb</v>
      </c>
      <c r="D65" s="8">
        <v>28</v>
      </c>
      <c r="E65" t="str">
        <f t="shared" si="30"/>
        <v>SALES TO MARKET</v>
      </c>
      <c r="F65" s="4" t="str">
        <f t="shared" si="35"/>
        <v>DIRECT</v>
      </c>
      <c r="G65" t="str">
        <f t="shared" si="35"/>
        <v>MTI</v>
      </c>
      <c r="H65" s="4" t="str">
        <f t="shared" si="35"/>
        <v>OTHERS</v>
      </c>
      <c r="I65" t="s">
        <v>46</v>
      </c>
      <c r="J65" t="s">
        <v>52</v>
      </c>
      <c r="K65" s="1">
        <v>287520</v>
      </c>
      <c r="L65" s="7">
        <v>24</v>
      </c>
    </row>
    <row r="66" spans="2:12">
      <c r="B66" s="4">
        <f t="shared" si="0"/>
        <v>2026</v>
      </c>
      <c r="C66" s="8" t="str">
        <f t="shared" si="28"/>
        <v>Feb</v>
      </c>
      <c r="D66" s="8">
        <v>28</v>
      </c>
      <c r="E66" t="str">
        <f t="shared" si="30"/>
        <v>SALES TO MARKET</v>
      </c>
      <c r="F66" s="4" t="str">
        <f t="shared" si="35"/>
        <v>DIRECT</v>
      </c>
      <c r="G66" t="str">
        <f t="shared" si="35"/>
        <v>MTI</v>
      </c>
      <c r="H66" s="4" t="str">
        <f t="shared" si="35"/>
        <v>OTHERS</v>
      </c>
      <c r="I66" t="s">
        <v>47</v>
      </c>
      <c r="J66" t="s">
        <v>53</v>
      </c>
      <c r="K66" s="1">
        <v>482808</v>
      </c>
      <c r="L66" s="7">
        <v>24</v>
      </c>
    </row>
    <row r="67" spans="2:12">
      <c r="B67" s="4">
        <f t="shared" si="0"/>
        <v>2026</v>
      </c>
      <c r="C67" s="8" t="str">
        <f t="shared" si="28"/>
        <v>Feb</v>
      </c>
      <c r="D67" s="8">
        <v>28</v>
      </c>
      <c r="E67" t="str">
        <f t="shared" si="30"/>
        <v>SALES TO MARKET</v>
      </c>
      <c r="F67" s="4" t="s">
        <v>10</v>
      </c>
      <c r="G67" t="s">
        <v>41</v>
      </c>
      <c r="H67" s="4" t="s">
        <v>22</v>
      </c>
      <c r="I67" t="s">
        <v>44</v>
      </c>
      <c r="J67" t="s">
        <v>50</v>
      </c>
      <c r="K67" s="3">
        <v>988845</v>
      </c>
      <c r="L67" s="6">
        <v>143</v>
      </c>
    </row>
    <row r="68" spans="2:12">
      <c r="B68" s="4">
        <f t="shared" ref="B68:B131" si="36">+B67</f>
        <v>2026</v>
      </c>
      <c r="C68" s="8" t="str">
        <f t="shared" si="28"/>
        <v>Feb</v>
      </c>
      <c r="D68" s="8">
        <v>28</v>
      </c>
      <c r="E68" t="str">
        <f t="shared" ref="E68:H70" si="37">+E67</f>
        <v>SALES TO MARKET</v>
      </c>
      <c r="F68" s="4" t="str">
        <f t="shared" si="37"/>
        <v>MBS</v>
      </c>
      <c r="G68" t="str">
        <f t="shared" si="37"/>
        <v>NKA</v>
      </c>
      <c r="H68" s="4" t="str">
        <f t="shared" si="37"/>
        <v>ALFAMART</v>
      </c>
      <c r="I68" t="s">
        <v>45</v>
      </c>
      <c r="J68" t="s">
        <v>51</v>
      </c>
      <c r="K68" s="3">
        <v>28170768</v>
      </c>
      <c r="L68" s="6">
        <v>1824</v>
      </c>
    </row>
    <row r="69" spans="2:12">
      <c r="B69" s="4">
        <f t="shared" si="36"/>
        <v>2026</v>
      </c>
      <c r="C69" s="8" t="str">
        <f t="shared" si="28"/>
        <v>Feb</v>
      </c>
      <c r="D69" s="8">
        <v>28</v>
      </c>
      <c r="E69" t="str">
        <f t="shared" si="37"/>
        <v>SALES TO MARKET</v>
      </c>
      <c r="F69" s="4" t="str">
        <f t="shared" si="37"/>
        <v>MBS</v>
      </c>
      <c r="G69" t="str">
        <f t="shared" si="37"/>
        <v>NKA</v>
      </c>
      <c r="H69" s="4" t="str">
        <f t="shared" si="37"/>
        <v>ALFAMART</v>
      </c>
      <c r="I69" t="s">
        <v>46</v>
      </c>
      <c r="J69" t="s">
        <v>52</v>
      </c>
      <c r="K69" s="3">
        <v>117752987</v>
      </c>
      <c r="L69" s="6">
        <v>11429</v>
      </c>
    </row>
    <row r="70" spans="2:12">
      <c r="B70" s="4">
        <f t="shared" si="36"/>
        <v>2026</v>
      </c>
      <c r="C70" s="8" t="str">
        <f t="shared" si="28"/>
        <v>Feb</v>
      </c>
      <c r="D70" s="8">
        <v>28</v>
      </c>
      <c r="E70" t="str">
        <f t="shared" si="37"/>
        <v>SALES TO MARKET</v>
      </c>
      <c r="F70" s="4" t="str">
        <f t="shared" si="37"/>
        <v>MBS</v>
      </c>
      <c r="G70" t="str">
        <f t="shared" si="37"/>
        <v>NKA</v>
      </c>
      <c r="H70" s="4" t="str">
        <f t="shared" si="37"/>
        <v>ALFAMART</v>
      </c>
      <c r="I70" t="s">
        <v>47</v>
      </c>
      <c r="J70" t="s">
        <v>53</v>
      </c>
      <c r="K70" s="3">
        <v>4948086</v>
      </c>
      <c r="L70" s="6">
        <v>286</v>
      </c>
    </row>
    <row r="71" spans="2:12">
      <c r="B71" s="4">
        <f t="shared" si="36"/>
        <v>2026</v>
      </c>
      <c r="C71" s="8" t="str">
        <f t="shared" si="28"/>
        <v>Feb</v>
      </c>
      <c r="D71" s="8">
        <v>28</v>
      </c>
      <c r="E71" t="str">
        <f t="shared" ref="E71:G71" si="38">+E70</f>
        <v>SALES TO MARKET</v>
      </c>
      <c r="F71" s="4" t="str">
        <f t="shared" si="38"/>
        <v>MBS</v>
      </c>
      <c r="G71" t="str">
        <f t="shared" si="38"/>
        <v>NKA</v>
      </c>
      <c r="H71" s="4" t="s">
        <v>23</v>
      </c>
      <c r="I71" t="s">
        <v>45</v>
      </c>
      <c r="J71" t="s">
        <v>51</v>
      </c>
      <c r="K71" s="3">
        <v>9208444</v>
      </c>
      <c r="L71" s="6">
        <v>692</v>
      </c>
    </row>
    <row r="72" spans="2:12">
      <c r="B72" s="4">
        <f t="shared" si="36"/>
        <v>2026</v>
      </c>
      <c r="C72" s="8" t="str">
        <f t="shared" si="28"/>
        <v>Feb</v>
      </c>
      <c r="D72" s="8">
        <v>28</v>
      </c>
      <c r="E72" t="str">
        <f t="shared" ref="E72:H73" si="39">+E71</f>
        <v>SALES TO MARKET</v>
      </c>
      <c r="F72" s="4" t="str">
        <f t="shared" si="39"/>
        <v>MBS</v>
      </c>
      <c r="G72" t="str">
        <f t="shared" si="39"/>
        <v>NKA</v>
      </c>
      <c r="H72" s="4" t="str">
        <f t="shared" si="39"/>
        <v>ALFAMIDI</v>
      </c>
      <c r="I72" t="s">
        <v>46</v>
      </c>
      <c r="J72" t="s">
        <v>52</v>
      </c>
      <c r="K72" s="3">
        <v>23923566</v>
      </c>
      <c r="L72" s="6">
        <v>2322</v>
      </c>
    </row>
    <row r="73" spans="2:12">
      <c r="B73" s="4">
        <f t="shared" si="36"/>
        <v>2026</v>
      </c>
      <c r="C73" s="8" t="str">
        <f t="shared" si="28"/>
        <v>Feb</v>
      </c>
      <c r="D73" s="8">
        <v>28</v>
      </c>
      <c r="E73" t="str">
        <f t="shared" si="39"/>
        <v>SALES TO MARKET</v>
      </c>
      <c r="F73" s="4" t="str">
        <f t="shared" si="39"/>
        <v>MBS</v>
      </c>
      <c r="G73" t="str">
        <f t="shared" si="39"/>
        <v>NKA</v>
      </c>
      <c r="H73" s="4" t="str">
        <f t="shared" si="39"/>
        <v>ALFAMIDI</v>
      </c>
      <c r="I73" t="s">
        <v>47</v>
      </c>
      <c r="J73" t="s">
        <v>53</v>
      </c>
      <c r="K73" s="3">
        <v>23062233</v>
      </c>
      <c r="L73" s="6">
        <v>1333</v>
      </c>
    </row>
    <row r="74" spans="2:12">
      <c r="B74" s="4">
        <f t="shared" si="36"/>
        <v>2026</v>
      </c>
      <c r="C74" s="8" t="str">
        <f t="shared" si="28"/>
        <v>Feb</v>
      </c>
      <c r="D74" s="8">
        <v>28</v>
      </c>
      <c r="E74" t="str">
        <f t="shared" ref="E74:G74" si="40">+E73</f>
        <v>SALES TO MARKET</v>
      </c>
      <c r="F74" s="4" t="str">
        <f t="shared" si="40"/>
        <v>MBS</v>
      </c>
      <c r="G74" t="str">
        <f t="shared" si="40"/>
        <v>NKA</v>
      </c>
      <c r="H74" s="4" t="s">
        <v>26</v>
      </c>
      <c r="I74" t="s">
        <v>46</v>
      </c>
      <c r="J74" t="s">
        <v>52</v>
      </c>
      <c r="K74" s="3">
        <v>16542843</v>
      </c>
      <c r="L74" s="6">
        <v>1605</v>
      </c>
    </row>
    <row r="75" spans="2:12">
      <c r="B75" s="4">
        <f t="shared" si="36"/>
        <v>2026</v>
      </c>
      <c r="C75" s="8" t="str">
        <f t="shared" si="28"/>
        <v>Feb</v>
      </c>
      <c r="D75" s="8">
        <v>28</v>
      </c>
      <c r="E75" t="str">
        <f t="shared" ref="E75:H75" si="41">+E74</f>
        <v>SALES TO MARKET</v>
      </c>
      <c r="F75" s="4" t="str">
        <f t="shared" si="41"/>
        <v>MBS</v>
      </c>
      <c r="G75" t="str">
        <f t="shared" si="41"/>
        <v>NKA</v>
      </c>
      <c r="H75" s="4" t="str">
        <f t="shared" si="41"/>
        <v>INDOGROSIR</v>
      </c>
      <c r="I75" t="s">
        <v>47</v>
      </c>
      <c r="J75" t="s">
        <v>53</v>
      </c>
      <c r="K75" s="3">
        <v>3702414</v>
      </c>
      <c r="L75" s="6">
        <v>214</v>
      </c>
    </row>
    <row r="76" spans="2:12">
      <c r="B76" s="4">
        <f t="shared" si="36"/>
        <v>2026</v>
      </c>
      <c r="C76" s="8" t="str">
        <f t="shared" si="28"/>
        <v>Feb</v>
      </c>
      <c r="D76" s="8">
        <v>28</v>
      </c>
      <c r="E76" t="str">
        <f t="shared" ref="E76:G76" si="42">+E75</f>
        <v>SALES TO MARKET</v>
      </c>
      <c r="F76" s="4" t="str">
        <f t="shared" si="42"/>
        <v>MBS</v>
      </c>
      <c r="G76" t="str">
        <f t="shared" si="42"/>
        <v>NKA</v>
      </c>
      <c r="H76" s="4" t="s">
        <v>27</v>
      </c>
      <c r="I76" t="s">
        <v>45</v>
      </c>
      <c r="J76" t="s">
        <v>51</v>
      </c>
      <c r="K76" s="3">
        <v>13307</v>
      </c>
      <c r="L76" s="6">
        <v>1</v>
      </c>
    </row>
    <row r="77" spans="2:12">
      <c r="B77" s="4">
        <f t="shared" si="36"/>
        <v>2026</v>
      </c>
      <c r="C77" s="8" t="str">
        <f t="shared" si="28"/>
        <v>Feb</v>
      </c>
      <c r="D77" s="8">
        <v>28</v>
      </c>
      <c r="E77" t="str">
        <f t="shared" ref="E77:H78" si="43">+E76</f>
        <v>SALES TO MARKET</v>
      </c>
      <c r="F77" s="4" t="str">
        <f t="shared" si="43"/>
        <v>MBS</v>
      </c>
      <c r="G77" t="str">
        <f t="shared" si="43"/>
        <v>NKA</v>
      </c>
      <c r="H77" s="4" t="str">
        <f t="shared" si="43"/>
        <v>INDOMARET</v>
      </c>
      <c r="I77" t="s">
        <v>46</v>
      </c>
      <c r="J77" t="s">
        <v>52</v>
      </c>
      <c r="K77" s="3">
        <v>142083299</v>
      </c>
      <c r="L77" s="6">
        <v>13789</v>
      </c>
    </row>
    <row r="78" spans="2:12">
      <c r="B78" s="4">
        <f t="shared" si="36"/>
        <v>2026</v>
      </c>
      <c r="C78" s="8" t="str">
        <f t="shared" si="28"/>
        <v>Feb</v>
      </c>
      <c r="D78" s="8">
        <v>28</v>
      </c>
      <c r="E78" t="str">
        <f t="shared" si="43"/>
        <v>SALES TO MARKET</v>
      </c>
      <c r="F78" s="4" t="str">
        <f t="shared" si="43"/>
        <v>MBS</v>
      </c>
      <c r="G78" t="str">
        <f t="shared" si="43"/>
        <v>NKA</v>
      </c>
      <c r="H78" s="4" t="str">
        <f t="shared" si="43"/>
        <v>INDOMARET</v>
      </c>
      <c r="I78" t="s">
        <v>47</v>
      </c>
      <c r="J78" t="s">
        <v>53</v>
      </c>
      <c r="K78" s="3">
        <v>-34602</v>
      </c>
      <c r="L78" s="6">
        <v>-2</v>
      </c>
    </row>
    <row r="79" spans="2:12">
      <c r="B79" s="4">
        <f t="shared" si="36"/>
        <v>2026</v>
      </c>
      <c r="C79" s="8" t="str">
        <f t="shared" si="28"/>
        <v>Feb</v>
      </c>
      <c r="D79" s="8">
        <v>28</v>
      </c>
      <c r="E79" t="str">
        <f t="shared" ref="E79:G79" si="44">+E78</f>
        <v>SALES TO MARKET</v>
      </c>
      <c r="F79" s="4" t="str">
        <f t="shared" si="44"/>
        <v>MBS</v>
      </c>
      <c r="G79" t="str">
        <f t="shared" si="44"/>
        <v>NKA</v>
      </c>
      <c r="H79" s="4" t="s">
        <v>28</v>
      </c>
      <c r="I79" t="s">
        <v>46</v>
      </c>
      <c r="J79" t="s">
        <v>52</v>
      </c>
      <c r="K79" s="3">
        <v>10210273</v>
      </c>
      <c r="L79" s="6">
        <v>991</v>
      </c>
    </row>
    <row r="80" spans="2:12">
      <c r="B80" s="4">
        <f t="shared" si="36"/>
        <v>2026</v>
      </c>
      <c r="C80" s="8" t="str">
        <f t="shared" si="28"/>
        <v>Feb</v>
      </c>
      <c r="D80" s="8">
        <v>28</v>
      </c>
      <c r="E80" t="str">
        <f t="shared" ref="E80:H80" si="45">+E79</f>
        <v>SALES TO MARKET</v>
      </c>
      <c r="F80" s="4" t="str">
        <f t="shared" si="45"/>
        <v>MBS</v>
      </c>
      <c r="G80" t="str">
        <f t="shared" si="45"/>
        <v>NKA</v>
      </c>
      <c r="H80" s="4" t="str">
        <f t="shared" si="45"/>
        <v>LION SUPERINDO</v>
      </c>
      <c r="I80" t="s">
        <v>47</v>
      </c>
      <c r="J80" t="s">
        <v>53</v>
      </c>
      <c r="K80" s="3">
        <v>12820041</v>
      </c>
      <c r="L80" s="6">
        <v>741</v>
      </c>
    </row>
    <row r="81" spans="2:12">
      <c r="B81" s="4">
        <f t="shared" si="36"/>
        <v>2026</v>
      </c>
      <c r="C81" s="8" t="str">
        <f t="shared" si="28"/>
        <v>Feb</v>
      </c>
      <c r="D81" s="8">
        <v>28</v>
      </c>
      <c r="E81" t="str">
        <f t="shared" ref="E81:F81" si="46">+E80</f>
        <v>SALES TO MARKET</v>
      </c>
      <c r="F81" s="4" t="str">
        <f t="shared" si="46"/>
        <v>MBS</v>
      </c>
      <c r="G81" t="s">
        <v>42</v>
      </c>
      <c r="H81" s="4" t="s">
        <v>21</v>
      </c>
      <c r="I81" t="s">
        <v>47</v>
      </c>
      <c r="J81" t="s">
        <v>53</v>
      </c>
      <c r="K81" s="3">
        <v>-34602</v>
      </c>
      <c r="L81" s="6">
        <v>-2</v>
      </c>
    </row>
    <row r="82" spans="2:12">
      <c r="B82" s="4">
        <f t="shared" si="36"/>
        <v>2026</v>
      </c>
      <c r="C82" s="8" t="str">
        <f t="shared" ref="C82:C103" si="47">+C81</f>
        <v>Feb</v>
      </c>
      <c r="D82" s="8">
        <v>28</v>
      </c>
      <c r="E82" t="str">
        <f t="shared" ref="E82:G82" si="48">+E81</f>
        <v>SALES TO MARKET</v>
      </c>
      <c r="F82" s="4" t="str">
        <f t="shared" si="48"/>
        <v>MBS</v>
      </c>
      <c r="G82" t="str">
        <f t="shared" si="48"/>
        <v>NON NKA</v>
      </c>
      <c r="H82" s="4" t="s">
        <v>24</v>
      </c>
      <c r="I82" t="s">
        <v>44</v>
      </c>
      <c r="J82" t="s">
        <v>50</v>
      </c>
      <c r="K82" s="3">
        <v>3028770</v>
      </c>
      <c r="L82" s="6">
        <v>438</v>
      </c>
    </row>
    <row r="83" spans="2:12">
      <c r="B83" s="4">
        <f t="shared" si="36"/>
        <v>2026</v>
      </c>
      <c r="C83" s="8" t="str">
        <f t="shared" si="47"/>
        <v>Feb</v>
      </c>
      <c r="D83" s="8">
        <v>28</v>
      </c>
      <c r="E83" t="str">
        <f t="shared" ref="E83:H85" si="49">+E82</f>
        <v>SALES TO MARKET</v>
      </c>
      <c r="F83" s="4" t="str">
        <f t="shared" si="49"/>
        <v>MBS</v>
      </c>
      <c r="G83" t="str">
        <f t="shared" si="49"/>
        <v>NON NKA</v>
      </c>
      <c r="H83" s="4" t="str">
        <f t="shared" si="49"/>
        <v>BORMA GROUP</v>
      </c>
      <c r="I83" t="s">
        <v>45</v>
      </c>
      <c r="J83" t="s">
        <v>51</v>
      </c>
      <c r="K83" s="3">
        <v>5109888</v>
      </c>
      <c r="L83" s="6">
        <v>384</v>
      </c>
    </row>
    <row r="84" spans="2:12">
      <c r="B84" s="4">
        <f t="shared" si="36"/>
        <v>2026</v>
      </c>
      <c r="C84" s="8" t="str">
        <f t="shared" si="47"/>
        <v>Feb</v>
      </c>
      <c r="D84" s="8">
        <v>28</v>
      </c>
      <c r="E84" t="str">
        <f t="shared" si="49"/>
        <v>SALES TO MARKET</v>
      </c>
      <c r="F84" s="4" t="str">
        <f t="shared" si="49"/>
        <v>MBS</v>
      </c>
      <c r="G84" t="str">
        <f t="shared" si="49"/>
        <v>NON NKA</v>
      </c>
      <c r="H84" s="4" t="str">
        <f t="shared" si="49"/>
        <v>BORMA GROUP</v>
      </c>
      <c r="I84" t="s">
        <v>46</v>
      </c>
      <c r="J84" t="s">
        <v>52</v>
      </c>
      <c r="K84" s="3">
        <v>3832716</v>
      </c>
      <c r="L84" s="6">
        <v>372</v>
      </c>
    </row>
    <row r="85" spans="2:12">
      <c r="B85" s="4">
        <f t="shared" si="36"/>
        <v>2026</v>
      </c>
      <c r="C85" s="8" t="str">
        <f t="shared" si="47"/>
        <v>Feb</v>
      </c>
      <c r="D85" s="8">
        <v>28</v>
      </c>
      <c r="E85" t="str">
        <f t="shared" si="49"/>
        <v>SALES TO MARKET</v>
      </c>
      <c r="F85" s="4" t="str">
        <f t="shared" si="49"/>
        <v>MBS</v>
      </c>
      <c r="G85" t="str">
        <f t="shared" si="49"/>
        <v>NON NKA</v>
      </c>
      <c r="H85" s="4" t="str">
        <f t="shared" si="49"/>
        <v>BORMA GROUP</v>
      </c>
      <c r="I85" t="s">
        <v>47</v>
      </c>
      <c r="J85" t="s">
        <v>53</v>
      </c>
      <c r="K85" s="3">
        <v>4359852</v>
      </c>
      <c r="L85" s="6">
        <v>252</v>
      </c>
    </row>
    <row r="86" spans="2:12">
      <c r="B86" s="4">
        <f t="shared" si="36"/>
        <v>2026</v>
      </c>
      <c r="C86" s="8" t="str">
        <f t="shared" si="47"/>
        <v>Feb</v>
      </c>
      <c r="D86" s="8">
        <v>28</v>
      </c>
      <c r="E86" t="str">
        <f t="shared" ref="E86:G86" si="50">+E85</f>
        <v>SALES TO MARKET</v>
      </c>
      <c r="F86" s="4" t="str">
        <f t="shared" si="50"/>
        <v>MBS</v>
      </c>
      <c r="G86" t="str">
        <f t="shared" si="50"/>
        <v>NON NKA</v>
      </c>
      <c r="H86" s="4" t="s">
        <v>25</v>
      </c>
      <c r="I86" t="s">
        <v>45</v>
      </c>
      <c r="J86" t="s">
        <v>51</v>
      </c>
      <c r="K86" s="3">
        <v>9581040</v>
      </c>
      <c r="L86" s="6">
        <v>720</v>
      </c>
    </row>
    <row r="87" spans="2:12">
      <c r="B87" s="4">
        <f t="shared" si="36"/>
        <v>2026</v>
      </c>
      <c r="C87" s="8" t="str">
        <f t="shared" si="47"/>
        <v>Feb</v>
      </c>
      <c r="D87" s="8">
        <v>28</v>
      </c>
      <c r="E87" t="str">
        <f t="shared" ref="E87:H88" si="51">+E86</f>
        <v>SALES TO MARKET</v>
      </c>
      <c r="F87" s="4" t="str">
        <f t="shared" si="51"/>
        <v>MBS</v>
      </c>
      <c r="G87" t="str">
        <f t="shared" si="51"/>
        <v>NON NKA</v>
      </c>
      <c r="H87" s="4" t="str">
        <f t="shared" si="51"/>
        <v>HARI-HARI GROUP</v>
      </c>
      <c r="I87" t="s">
        <v>46</v>
      </c>
      <c r="J87" t="s">
        <v>52</v>
      </c>
      <c r="K87" s="3">
        <v>27818100</v>
      </c>
      <c r="L87" s="6">
        <v>2700</v>
      </c>
    </row>
    <row r="88" spans="2:12">
      <c r="B88" s="4">
        <f t="shared" si="36"/>
        <v>2026</v>
      </c>
      <c r="C88" s="8" t="str">
        <f t="shared" si="47"/>
        <v>Feb</v>
      </c>
      <c r="D88" s="8">
        <v>28</v>
      </c>
      <c r="E88" t="str">
        <f t="shared" si="51"/>
        <v>SALES TO MARKET</v>
      </c>
      <c r="F88" s="4" t="str">
        <f t="shared" si="51"/>
        <v>MBS</v>
      </c>
      <c r="G88" t="str">
        <f t="shared" si="51"/>
        <v>NON NKA</v>
      </c>
      <c r="H88" s="4" t="str">
        <f t="shared" si="51"/>
        <v>HARI-HARI GROUP</v>
      </c>
      <c r="I88" t="s">
        <v>47</v>
      </c>
      <c r="J88" t="s">
        <v>53</v>
      </c>
      <c r="K88" s="3">
        <v>8304480</v>
      </c>
      <c r="L88" s="6">
        <v>480</v>
      </c>
    </row>
    <row r="89" spans="2:12">
      <c r="B89" s="4">
        <f t="shared" si="36"/>
        <v>2026</v>
      </c>
      <c r="C89" s="8" t="str">
        <f t="shared" si="47"/>
        <v>Feb</v>
      </c>
      <c r="D89" s="8">
        <v>28</v>
      </c>
      <c r="E89" t="str">
        <f t="shared" ref="E89:G89" si="52">+E88</f>
        <v>SALES TO MARKET</v>
      </c>
      <c r="F89" s="4" t="str">
        <f t="shared" si="52"/>
        <v>MBS</v>
      </c>
      <c r="G89" t="str">
        <f t="shared" si="52"/>
        <v>NON NKA</v>
      </c>
      <c r="H89" s="4" t="s">
        <v>29</v>
      </c>
      <c r="I89" t="s">
        <v>44</v>
      </c>
      <c r="J89" t="s">
        <v>50</v>
      </c>
      <c r="K89" s="3">
        <v>573945</v>
      </c>
      <c r="L89" s="6">
        <v>83</v>
      </c>
    </row>
    <row r="90" spans="2:12">
      <c r="B90" s="4">
        <f t="shared" si="36"/>
        <v>2026</v>
      </c>
      <c r="C90" s="8" t="str">
        <f t="shared" si="47"/>
        <v>Feb</v>
      </c>
      <c r="D90" s="8">
        <v>28</v>
      </c>
      <c r="E90" t="str">
        <f t="shared" ref="E90:H92" si="53">+E89</f>
        <v>SALES TO MARKET</v>
      </c>
      <c r="F90" s="4" t="str">
        <f t="shared" si="53"/>
        <v>MBS</v>
      </c>
      <c r="G90" t="str">
        <f t="shared" si="53"/>
        <v>NON NKA</v>
      </c>
      <c r="H90" s="4" t="str">
        <f t="shared" si="53"/>
        <v>NAGA SWALAYAN GROUP</v>
      </c>
      <c r="I90" t="s">
        <v>45</v>
      </c>
      <c r="J90" t="s">
        <v>51</v>
      </c>
      <c r="K90" s="3">
        <v>2235576</v>
      </c>
      <c r="L90" s="6">
        <v>168</v>
      </c>
    </row>
    <row r="91" spans="2:12">
      <c r="B91" s="4">
        <f t="shared" si="36"/>
        <v>2026</v>
      </c>
      <c r="C91" s="8" t="str">
        <f t="shared" si="47"/>
        <v>Feb</v>
      </c>
      <c r="D91" s="8">
        <v>28</v>
      </c>
      <c r="E91" t="str">
        <f t="shared" si="53"/>
        <v>SALES TO MARKET</v>
      </c>
      <c r="F91" s="4" t="str">
        <f t="shared" si="53"/>
        <v>MBS</v>
      </c>
      <c r="G91" t="str">
        <f t="shared" si="53"/>
        <v>NON NKA</v>
      </c>
      <c r="H91" s="4" t="str">
        <f t="shared" si="53"/>
        <v>NAGA SWALAYAN GROUP</v>
      </c>
      <c r="I91" t="s">
        <v>46</v>
      </c>
      <c r="J91" t="s">
        <v>52</v>
      </c>
      <c r="K91" s="3">
        <v>1298178</v>
      </c>
      <c r="L91" s="6">
        <v>126</v>
      </c>
    </row>
    <row r="92" spans="2:12">
      <c r="B92" s="4">
        <f t="shared" si="36"/>
        <v>2026</v>
      </c>
      <c r="C92" s="8" t="str">
        <f t="shared" si="47"/>
        <v>Feb</v>
      </c>
      <c r="D92" s="8">
        <v>28</v>
      </c>
      <c r="E92" t="str">
        <f t="shared" si="53"/>
        <v>SALES TO MARKET</v>
      </c>
      <c r="F92" s="4" t="str">
        <f t="shared" si="53"/>
        <v>MBS</v>
      </c>
      <c r="G92" t="str">
        <f t="shared" si="53"/>
        <v>NON NKA</v>
      </c>
      <c r="H92" s="4" t="str">
        <f t="shared" si="53"/>
        <v>NAGA SWALAYAN GROUP</v>
      </c>
      <c r="I92" t="s">
        <v>47</v>
      </c>
      <c r="J92" t="s">
        <v>53</v>
      </c>
      <c r="K92" s="3">
        <v>2906568</v>
      </c>
      <c r="L92" s="6">
        <v>168</v>
      </c>
    </row>
    <row r="93" spans="2:12">
      <c r="B93" s="4">
        <f t="shared" si="36"/>
        <v>2026</v>
      </c>
      <c r="C93" s="8" t="str">
        <f t="shared" si="47"/>
        <v>Feb</v>
      </c>
      <c r="D93" s="8">
        <v>28</v>
      </c>
      <c r="E93" t="str">
        <f t="shared" ref="E93:G93" si="54">+E92</f>
        <v>SALES TO MARKET</v>
      </c>
      <c r="F93" s="4" t="str">
        <f t="shared" si="54"/>
        <v>MBS</v>
      </c>
      <c r="G93" t="str">
        <f t="shared" si="54"/>
        <v>NON NKA</v>
      </c>
      <c r="H93" s="4" t="s">
        <v>30</v>
      </c>
      <c r="I93" t="s">
        <v>44</v>
      </c>
      <c r="J93" t="s">
        <v>50</v>
      </c>
      <c r="K93" s="3">
        <v>3409095</v>
      </c>
      <c r="L93" s="6">
        <v>493</v>
      </c>
    </row>
    <row r="94" spans="2:12">
      <c r="B94" s="4">
        <f t="shared" si="36"/>
        <v>2026</v>
      </c>
      <c r="C94" s="8" t="str">
        <f t="shared" si="47"/>
        <v>Feb</v>
      </c>
      <c r="D94" s="8">
        <v>28</v>
      </c>
      <c r="E94" t="str">
        <f t="shared" ref="E94:H96" si="55">+E93</f>
        <v>SALES TO MARKET</v>
      </c>
      <c r="F94" s="4" t="str">
        <f t="shared" si="55"/>
        <v>MBS</v>
      </c>
      <c r="G94" t="str">
        <f t="shared" si="55"/>
        <v>NON NKA</v>
      </c>
      <c r="H94" s="4" t="str">
        <f t="shared" si="55"/>
        <v>OTHERS</v>
      </c>
      <c r="I94" t="s">
        <v>45</v>
      </c>
      <c r="J94" t="s">
        <v>51</v>
      </c>
      <c r="K94" s="3">
        <v>-3619504</v>
      </c>
      <c r="L94" s="6">
        <v>-272</v>
      </c>
    </row>
    <row r="95" spans="2:12">
      <c r="B95" s="4">
        <f t="shared" si="36"/>
        <v>2026</v>
      </c>
      <c r="C95" s="8" t="str">
        <f t="shared" si="47"/>
        <v>Feb</v>
      </c>
      <c r="D95" s="8">
        <v>28</v>
      </c>
      <c r="E95" t="str">
        <f t="shared" si="55"/>
        <v>SALES TO MARKET</v>
      </c>
      <c r="F95" s="4" t="str">
        <f t="shared" si="55"/>
        <v>MBS</v>
      </c>
      <c r="G95" t="str">
        <f t="shared" si="55"/>
        <v>NON NKA</v>
      </c>
      <c r="H95" s="4" t="str">
        <f t="shared" si="55"/>
        <v>OTHERS</v>
      </c>
      <c r="I95" t="s">
        <v>46</v>
      </c>
      <c r="J95" t="s">
        <v>52</v>
      </c>
      <c r="K95" s="3">
        <v>2066106</v>
      </c>
      <c r="L95" s="6">
        <v>198</v>
      </c>
    </row>
    <row r="96" spans="2:12">
      <c r="B96" s="4">
        <f t="shared" si="36"/>
        <v>2026</v>
      </c>
      <c r="C96" s="8" t="str">
        <f t="shared" si="47"/>
        <v>Feb</v>
      </c>
      <c r="D96" s="8">
        <v>28</v>
      </c>
      <c r="E96" t="str">
        <f t="shared" si="55"/>
        <v>SALES TO MARKET</v>
      </c>
      <c r="F96" s="4" t="str">
        <f t="shared" si="55"/>
        <v>MBS</v>
      </c>
      <c r="G96" t="str">
        <f t="shared" si="55"/>
        <v>NON NKA</v>
      </c>
      <c r="H96" s="4" t="str">
        <f t="shared" si="55"/>
        <v>OTHERS</v>
      </c>
      <c r="I96" t="s">
        <v>47</v>
      </c>
      <c r="J96" t="s">
        <v>53</v>
      </c>
      <c r="K96" s="3">
        <v>14567442</v>
      </c>
      <c r="L96" s="6">
        <v>842</v>
      </c>
    </row>
    <row r="97" spans="2:12">
      <c r="B97" s="4">
        <f t="shared" si="36"/>
        <v>2026</v>
      </c>
      <c r="C97" s="8" t="str">
        <f t="shared" si="47"/>
        <v>Feb</v>
      </c>
      <c r="D97" s="8">
        <v>28</v>
      </c>
      <c r="E97" t="str">
        <f t="shared" ref="E97:G97" si="56">+E96</f>
        <v>SALES TO MARKET</v>
      </c>
      <c r="F97" s="4" t="str">
        <f t="shared" si="56"/>
        <v>MBS</v>
      </c>
      <c r="G97" t="str">
        <f t="shared" si="56"/>
        <v>NON NKA</v>
      </c>
      <c r="H97" s="4" t="s">
        <v>31</v>
      </c>
      <c r="I97" t="s">
        <v>44</v>
      </c>
      <c r="J97" t="s">
        <v>50</v>
      </c>
      <c r="K97" s="3">
        <v>1161720</v>
      </c>
      <c r="L97" s="6">
        <v>168</v>
      </c>
    </row>
    <row r="98" spans="2:12">
      <c r="B98" s="4">
        <f t="shared" si="36"/>
        <v>2026</v>
      </c>
      <c r="C98" s="8" t="str">
        <f t="shared" si="47"/>
        <v>Feb</v>
      </c>
      <c r="D98" s="8">
        <v>28</v>
      </c>
      <c r="E98" t="str">
        <f t="shared" ref="E98:H100" si="57">+E97</f>
        <v>SALES TO MARKET</v>
      </c>
      <c r="F98" s="4" t="str">
        <f t="shared" si="57"/>
        <v>MBS</v>
      </c>
      <c r="G98" t="str">
        <f t="shared" si="57"/>
        <v>NON NKA</v>
      </c>
      <c r="H98" s="4" t="str">
        <f t="shared" si="57"/>
        <v>TIP-TOP SWALAYAN GROUP</v>
      </c>
      <c r="I98" t="s">
        <v>45</v>
      </c>
      <c r="J98" t="s">
        <v>51</v>
      </c>
      <c r="K98" s="3">
        <v>1902901</v>
      </c>
      <c r="L98" s="6">
        <v>143</v>
      </c>
    </row>
    <row r="99" spans="2:12">
      <c r="B99" s="4">
        <f t="shared" si="36"/>
        <v>2026</v>
      </c>
      <c r="C99" s="8" t="str">
        <f t="shared" si="47"/>
        <v>Feb</v>
      </c>
      <c r="D99" s="8">
        <v>28</v>
      </c>
      <c r="E99" t="str">
        <f t="shared" si="57"/>
        <v>SALES TO MARKET</v>
      </c>
      <c r="F99" s="4" t="str">
        <f t="shared" si="57"/>
        <v>MBS</v>
      </c>
      <c r="G99" t="str">
        <f t="shared" si="57"/>
        <v>NON NKA</v>
      </c>
      <c r="H99" s="4" t="str">
        <f t="shared" si="57"/>
        <v>TIP-TOP SWALAYAN GROUP</v>
      </c>
      <c r="I99" t="s">
        <v>46</v>
      </c>
      <c r="J99" t="s">
        <v>52</v>
      </c>
      <c r="K99" s="3">
        <v>1473329</v>
      </c>
      <c r="L99" s="6">
        <v>143</v>
      </c>
    </row>
    <row r="100" spans="2:12">
      <c r="B100" s="4">
        <f t="shared" si="36"/>
        <v>2026</v>
      </c>
      <c r="C100" s="8" t="str">
        <f t="shared" si="47"/>
        <v>Feb</v>
      </c>
      <c r="D100" s="8">
        <v>28</v>
      </c>
      <c r="E100" t="str">
        <f t="shared" si="57"/>
        <v>SALES TO MARKET</v>
      </c>
      <c r="F100" s="4" t="str">
        <f t="shared" si="57"/>
        <v>MBS</v>
      </c>
      <c r="G100" t="str">
        <f t="shared" si="57"/>
        <v>NON NKA</v>
      </c>
      <c r="H100" s="4" t="str">
        <f t="shared" si="57"/>
        <v>TIP-TOP SWALAYAN GROUP</v>
      </c>
      <c r="I100" t="s">
        <v>47</v>
      </c>
      <c r="J100" t="s">
        <v>53</v>
      </c>
      <c r="K100" s="3">
        <v>4723173</v>
      </c>
      <c r="L100" s="6">
        <v>273</v>
      </c>
    </row>
    <row r="101" spans="2:12">
      <c r="B101" s="4">
        <f t="shared" si="36"/>
        <v>2026</v>
      </c>
      <c r="C101" s="8" t="str">
        <f t="shared" si="47"/>
        <v>Feb</v>
      </c>
      <c r="D101" s="8">
        <v>28</v>
      </c>
      <c r="E101" t="str">
        <f t="shared" ref="E101:G101" si="58">+E100</f>
        <v>SALES TO MARKET</v>
      </c>
      <c r="F101" s="4" t="str">
        <f t="shared" si="58"/>
        <v>MBS</v>
      </c>
      <c r="G101" t="str">
        <f t="shared" si="58"/>
        <v>NON NKA</v>
      </c>
      <c r="H101" s="4" t="s">
        <v>32</v>
      </c>
      <c r="I101" t="s">
        <v>45</v>
      </c>
      <c r="J101" t="s">
        <v>51</v>
      </c>
      <c r="K101" s="3">
        <v>918183</v>
      </c>
      <c r="L101" s="6">
        <v>69</v>
      </c>
    </row>
    <row r="102" spans="2:12">
      <c r="B102" s="4">
        <f t="shared" si="36"/>
        <v>2026</v>
      </c>
      <c r="C102" s="8" t="str">
        <f t="shared" si="47"/>
        <v>Feb</v>
      </c>
      <c r="D102" s="8">
        <v>28</v>
      </c>
      <c r="E102" t="str">
        <f t="shared" ref="E102:H103" si="59">+E101</f>
        <v>SALES TO MARKET</v>
      </c>
      <c r="F102" s="4" t="str">
        <f t="shared" si="59"/>
        <v>MBS</v>
      </c>
      <c r="G102" t="str">
        <f t="shared" si="59"/>
        <v>NON NKA</v>
      </c>
      <c r="H102" s="4" t="str">
        <f t="shared" si="59"/>
        <v>YOGYA GROUP</v>
      </c>
      <c r="I102" t="s">
        <v>46</v>
      </c>
      <c r="J102" t="s">
        <v>52</v>
      </c>
      <c r="K102" s="3">
        <v>3379384</v>
      </c>
      <c r="L102" s="6">
        <v>328</v>
      </c>
    </row>
    <row r="103" spans="2:12">
      <c r="B103" s="4">
        <f t="shared" si="36"/>
        <v>2026</v>
      </c>
      <c r="C103" s="8" t="str">
        <f t="shared" si="47"/>
        <v>Feb</v>
      </c>
      <c r="D103" s="8">
        <v>28</v>
      </c>
      <c r="E103" t="str">
        <f t="shared" si="59"/>
        <v>SALES TO MARKET</v>
      </c>
      <c r="F103" s="4" t="str">
        <f t="shared" si="59"/>
        <v>MBS</v>
      </c>
      <c r="G103" t="str">
        <f t="shared" si="59"/>
        <v>NON NKA</v>
      </c>
      <c r="H103" s="4" t="str">
        <f t="shared" si="59"/>
        <v>YOGYA GROUP</v>
      </c>
      <c r="I103" t="s">
        <v>47</v>
      </c>
      <c r="J103" t="s">
        <v>53</v>
      </c>
      <c r="K103" s="3">
        <v>-51903</v>
      </c>
      <c r="L103" s="6">
        <v>-3</v>
      </c>
    </row>
    <row r="104" spans="2:12">
      <c r="B104" s="4">
        <f t="shared" si="36"/>
        <v>2026</v>
      </c>
      <c r="C104" s="8" t="s">
        <v>4</v>
      </c>
      <c r="D104" s="8">
        <v>31</v>
      </c>
      <c r="E104" t="s">
        <v>16</v>
      </c>
      <c r="F104" s="4" t="s">
        <v>0</v>
      </c>
      <c r="G104" t="s">
        <v>39</v>
      </c>
      <c r="H104" s="4" t="s">
        <v>34</v>
      </c>
      <c r="I104" t="s">
        <v>44</v>
      </c>
      <c r="J104" t="s">
        <v>50</v>
      </c>
      <c r="K104" s="1">
        <v>6849645.4399999995</v>
      </c>
      <c r="L104" s="7">
        <v>968</v>
      </c>
    </row>
    <row r="105" spans="2:12">
      <c r="B105" s="4">
        <f t="shared" si="36"/>
        <v>2026</v>
      </c>
      <c r="C105" s="8" t="str">
        <f t="shared" ref="C105:C151" si="60">+C104</f>
        <v>Mar</v>
      </c>
      <c r="D105" s="8">
        <v>31</v>
      </c>
      <c r="E105" t="str">
        <f t="shared" ref="E105:H107" si="61">+E104</f>
        <v>SALES TO DISTRIBUTOR</v>
      </c>
      <c r="F105" s="4" t="str">
        <f t="shared" si="61"/>
        <v>DIRECT</v>
      </c>
      <c r="G105" t="str">
        <f t="shared" si="61"/>
        <v>DISTRIBUTOR</v>
      </c>
      <c r="H105" s="4" t="str">
        <f t="shared" si="61"/>
        <v>KEBAYORAN PHARMA</v>
      </c>
      <c r="I105" t="s">
        <v>45</v>
      </c>
      <c r="J105" t="s">
        <v>51</v>
      </c>
      <c r="K105" s="1">
        <v>19716315.52</v>
      </c>
      <c r="L105" s="7">
        <v>1448</v>
      </c>
    </row>
    <row r="106" spans="2:12">
      <c r="B106" s="4">
        <f t="shared" si="36"/>
        <v>2026</v>
      </c>
      <c r="C106" s="8" t="str">
        <f t="shared" si="60"/>
        <v>Mar</v>
      </c>
      <c r="D106" s="8">
        <v>31</v>
      </c>
      <c r="E106" t="str">
        <f t="shared" si="61"/>
        <v>SALES TO DISTRIBUTOR</v>
      </c>
      <c r="F106" s="4" t="str">
        <f t="shared" si="61"/>
        <v>DIRECT</v>
      </c>
      <c r="G106" t="str">
        <f t="shared" si="61"/>
        <v>DISTRIBUTOR</v>
      </c>
      <c r="H106" s="4" t="str">
        <f t="shared" si="61"/>
        <v>KEBAYORAN PHARMA</v>
      </c>
      <c r="I106" t="s">
        <v>46</v>
      </c>
      <c r="J106" t="s">
        <v>52</v>
      </c>
      <c r="K106" s="1">
        <v>128849212.8</v>
      </c>
      <c r="L106" s="7">
        <v>12222</v>
      </c>
    </row>
    <row r="107" spans="2:12">
      <c r="B107" s="4">
        <f t="shared" si="36"/>
        <v>2026</v>
      </c>
      <c r="C107" s="8" t="str">
        <f t="shared" si="60"/>
        <v>Mar</v>
      </c>
      <c r="D107" s="8">
        <v>31</v>
      </c>
      <c r="E107" t="str">
        <f t="shared" si="61"/>
        <v>SALES TO DISTRIBUTOR</v>
      </c>
      <c r="F107" s="4" t="str">
        <f t="shared" si="61"/>
        <v>DIRECT</v>
      </c>
      <c r="G107" t="str">
        <f t="shared" si="61"/>
        <v>DISTRIBUTOR</v>
      </c>
      <c r="H107" s="4" t="str">
        <f t="shared" si="61"/>
        <v>KEBAYORAN PHARMA</v>
      </c>
      <c r="I107" t="s">
        <v>47</v>
      </c>
      <c r="J107" t="s">
        <v>53</v>
      </c>
      <c r="K107" s="1">
        <v>66846376.959999993</v>
      </c>
      <c r="L107" s="7">
        <v>3776</v>
      </c>
    </row>
    <row r="108" spans="2:12">
      <c r="B108" s="4">
        <f t="shared" si="36"/>
        <v>2026</v>
      </c>
      <c r="C108" s="8" t="str">
        <f t="shared" si="60"/>
        <v>Mar</v>
      </c>
      <c r="D108" s="8">
        <v>31</v>
      </c>
      <c r="E108" t="str">
        <f t="shared" ref="E108:G108" si="62">+E107</f>
        <v>SALES TO DISTRIBUTOR</v>
      </c>
      <c r="F108" s="4" t="str">
        <f t="shared" si="62"/>
        <v>DIRECT</v>
      </c>
      <c r="G108" t="str">
        <f t="shared" si="62"/>
        <v>DISTRIBUTOR</v>
      </c>
      <c r="H108" s="4" t="s">
        <v>19</v>
      </c>
      <c r="I108" t="s">
        <v>44</v>
      </c>
      <c r="J108" t="s">
        <v>50</v>
      </c>
      <c r="K108" s="1">
        <v>1991520</v>
      </c>
      <c r="L108" s="7">
        <v>288</v>
      </c>
    </row>
    <row r="109" spans="2:12">
      <c r="B109" s="4">
        <f t="shared" si="36"/>
        <v>2026</v>
      </c>
      <c r="C109" s="8" t="str">
        <f t="shared" si="60"/>
        <v>Mar</v>
      </c>
      <c r="D109" s="8">
        <v>31</v>
      </c>
      <c r="E109" t="str">
        <f t="shared" ref="E109:H111" si="63">+E108</f>
        <v>SALES TO DISTRIBUTOR</v>
      </c>
      <c r="F109" s="4" t="str">
        <f t="shared" si="63"/>
        <v>DIRECT</v>
      </c>
      <c r="G109" t="str">
        <f t="shared" si="63"/>
        <v>DISTRIBUTOR</v>
      </c>
      <c r="H109" s="4" t="str">
        <f t="shared" si="63"/>
        <v>MENSA BINASUKSES</v>
      </c>
      <c r="I109" t="s">
        <v>45</v>
      </c>
      <c r="J109" t="s">
        <v>51</v>
      </c>
      <c r="K109" s="1">
        <v>14690928</v>
      </c>
      <c r="L109" s="7">
        <v>1104</v>
      </c>
    </row>
    <row r="110" spans="2:12">
      <c r="B110" s="4">
        <f t="shared" si="36"/>
        <v>2026</v>
      </c>
      <c r="C110" s="8" t="str">
        <f t="shared" si="60"/>
        <v>Mar</v>
      </c>
      <c r="D110" s="8">
        <v>31</v>
      </c>
      <c r="E110" t="str">
        <f t="shared" si="63"/>
        <v>SALES TO DISTRIBUTOR</v>
      </c>
      <c r="F110" s="4" t="str">
        <f t="shared" si="63"/>
        <v>DIRECT</v>
      </c>
      <c r="G110" t="str">
        <f t="shared" si="63"/>
        <v>DISTRIBUTOR</v>
      </c>
      <c r="H110" s="4" t="str">
        <f t="shared" si="63"/>
        <v>MENSA BINASUKSES</v>
      </c>
      <c r="I110" t="s">
        <v>46</v>
      </c>
      <c r="J110" t="s">
        <v>52</v>
      </c>
      <c r="K110" s="1">
        <v>333199020</v>
      </c>
      <c r="L110" s="7">
        <v>32340</v>
      </c>
    </row>
    <row r="111" spans="2:12">
      <c r="B111" s="4">
        <f t="shared" si="36"/>
        <v>2026</v>
      </c>
      <c r="C111" s="8" t="str">
        <f t="shared" si="60"/>
        <v>Mar</v>
      </c>
      <c r="D111" s="8">
        <v>31</v>
      </c>
      <c r="E111" t="str">
        <f t="shared" si="63"/>
        <v>SALES TO DISTRIBUTOR</v>
      </c>
      <c r="F111" s="4" t="str">
        <f t="shared" si="63"/>
        <v>DIRECT</v>
      </c>
      <c r="G111" t="str">
        <f t="shared" si="63"/>
        <v>DISTRIBUTOR</v>
      </c>
      <c r="H111" s="4" t="str">
        <f t="shared" si="63"/>
        <v>MENSA BINASUKSES</v>
      </c>
      <c r="I111" t="s">
        <v>47</v>
      </c>
      <c r="J111" t="s">
        <v>53</v>
      </c>
      <c r="K111" s="1">
        <v>36954936</v>
      </c>
      <c r="L111" s="7">
        <v>2136</v>
      </c>
    </row>
    <row r="112" spans="2:12">
      <c r="B112" s="4">
        <f t="shared" si="36"/>
        <v>2026</v>
      </c>
      <c r="C112" s="8" t="str">
        <f t="shared" si="60"/>
        <v>Mar</v>
      </c>
      <c r="D112" s="8">
        <v>31</v>
      </c>
      <c r="E112" t="s">
        <v>17</v>
      </c>
      <c r="F112" s="4" t="s">
        <v>0</v>
      </c>
      <c r="G112" t="s">
        <v>40</v>
      </c>
      <c r="H112" s="4" t="s">
        <v>25</v>
      </c>
      <c r="I112" t="s">
        <v>44</v>
      </c>
      <c r="J112" t="s">
        <v>50</v>
      </c>
      <c r="K112" s="1">
        <v>7642166.3999999994</v>
      </c>
      <c r="L112" s="7">
        <v>1080</v>
      </c>
    </row>
    <row r="113" spans="2:12">
      <c r="B113" s="4">
        <f t="shared" si="36"/>
        <v>2026</v>
      </c>
      <c r="C113" s="8" t="str">
        <f t="shared" si="60"/>
        <v>Mar</v>
      </c>
      <c r="D113" s="8">
        <v>31</v>
      </c>
      <c r="E113" t="str">
        <f t="shared" ref="E113:E119" si="64">+E112</f>
        <v>SALES TO MARKET</v>
      </c>
      <c r="F113" s="4" t="str">
        <f t="shared" ref="F113:H115" si="65">+F112</f>
        <v>DIRECT</v>
      </c>
      <c r="G113" t="str">
        <f t="shared" si="65"/>
        <v>MTI</v>
      </c>
      <c r="H113" s="4" t="str">
        <f t="shared" si="65"/>
        <v>HARI-HARI GROUP</v>
      </c>
      <c r="I113" t="s">
        <v>45</v>
      </c>
      <c r="J113" t="s">
        <v>51</v>
      </c>
      <c r="K113" s="1">
        <v>19607385.600000001</v>
      </c>
      <c r="L113" s="7">
        <v>1440</v>
      </c>
    </row>
    <row r="114" spans="2:12">
      <c r="B114" s="4">
        <f t="shared" si="36"/>
        <v>2026</v>
      </c>
      <c r="C114" s="8" t="str">
        <f t="shared" si="60"/>
        <v>Mar</v>
      </c>
      <c r="D114" s="8">
        <v>31</v>
      </c>
      <c r="E114" t="str">
        <f t="shared" si="64"/>
        <v>SALES TO MARKET</v>
      </c>
      <c r="F114" s="4" t="str">
        <f t="shared" si="65"/>
        <v>DIRECT</v>
      </c>
      <c r="G114" t="str">
        <f t="shared" si="65"/>
        <v>MTI</v>
      </c>
      <c r="H114" s="4" t="str">
        <f t="shared" si="65"/>
        <v>HARI-HARI GROUP</v>
      </c>
      <c r="I114" t="s">
        <v>46</v>
      </c>
      <c r="J114" t="s">
        <v>52</v>
      </c>
      <c r="K114" s="1">
        <v>45543168</v>
      </c>
      <c r="L114" s="7">
        <v>4320</v>
      </c>
    </row>
    <row r="115" spans="2:12">
      <c r="B115" s="4">
        <f t="shared" si="36"/>
        <v>2026</v>
      </c>
      <c r="C115" s="8" t="str">
        <f t="shared" si="60"/>
        <v>Mar</v>
      </c>
      <c r="D115" s="8">
        <v>31</v>
      </c>
      <c r="E115" t="str">
        <f t="shared" si="64"/>
        <v>SALES TO MARKET</v>
      </c>
      <c r="F115" s="4" t="str">
        <f t="shared" si="65"/>
        <v>DIRECT</v>
      </c>
      <c r="G115" t="str">
        <f t="shared" si="65"/>
        <v>MTI</v>
      </c>
      <c r="H115" s="4" t="str">
        <f t="shared" si="65"/>
        <v>HARI-HARI GROUP</v>
      </c>
      <c r="I115" t="s">
        <v>47</v>
      </c>
      <c r="J115" t="s">
        <v>53</v>
      </c>
      <c r="K115" s="1">
        <v>46735814.399999999</v>
      </c>
      <c r="L115" s="7">
        <v>2640</v>
      </c>
    </row>
    <row r="116" spans="2:12">
      <c r="B116" s="4">
        <f t="shared" si="36"/>
        <v>2026</v>
      </c>
      <c r="C116" s="8" t="str">
        <f t="shared" si="60"/>
        <v>Mar</v>
      </c>
      <c r="D116" s="8">
        <v>31</v>
      </c>
      <c r="E116" t="str">
        <f t="shared" si="64"/>
        <v>SALES TO MARKET</v>
      </c>
      <c r="F116" s="4" t="str">
        <f t="shared" ref="F116:G116" si="66">+F115</f>
        <v>DIRECT</v>
      </c>
      <c r="G116" t="str">
        <f t="shared" si="66"/>
        <v>MTI</v>
      </c>
      <c r="H116" s="4" t="s">
        <v>20</v>
      </c>
      <c r="I116" t="s">
        <v>45</v>
      </c>
      <c r="J116" t="s">
        <v>51</v>
      </c>
      <c r="K116" s="1">
        <v>1012752</v>
      </c>
      <c r="L116" s="7">
        <v>72</v>
      </c>
    </row>
    <row r="117" spans="2:12">
      <c r="B117" s="4">
        <f t="shared" si="36"/>
        <v>2026</v>
      </c>
      <c r="C117" s="8" t="str">
        <f t="shared" si="60"/>
        <v>Mar</v>
      </c>
      <c r="D117" s="8">
        <v>31</v>
      </c>
      <c r="E117" t="str">
        <f t="shared" si="64"/>
        <v>SALES TO MARKET</v>
      </c>
      <c r="F117" s="4" t="str">
        <f t="shared" ref="F117:H118" si="67">+F116</f>
        <v>DIRECT</v>
      </c>
      <c r="G117" t="str">
        <f t="shared" si="67"/>
        <v>MTI</v>
      </c>
      <c r="H117" s="4" t="str">
        <f t="shared" si="67"/>
        <v>HYPERMART</v>
      </c>
      <c r="I117" t="s">
        <v>46</v>
      </c>
      <c r="J117" t="s">
        <v>52</v>
      </c>
      <c r="K117" s="1">
        <v>392076</v>
      </c>
      <c r="L117" s="7">
        <v>36</v>
      </c>
    </row>
    <row r="118" spans="2:12">
      <c r="B118" s="4">
        <f t="shared" si="36"/>
        <v>2026</v>
      </c>
      <c r="C118" s="8" t="str">
        <f t="shared" si="60"/>
        <v>Mar</v>
      </c>
      <c r="D118" s="8">
        <v>31</v>
      </c>
      <c r="E118" t="str">
        <f t="shared" si="64"/>
        <v>SALES TO MARKET</v>
      </c>
      <c r="F118" s="4" t="str">
        <f t="shared" si="67"/>
        <v>DIRECT</v>
      </c>
      <c r="G118" t="str">
        <f t="shared" si="67"/>
        <v>MTI</v>
      </c>
      <c r="H118" s="4" t="str">
        <f t="shared" si="67"/>
        <v>HYPERMART</v>
      </c>
      <c r="I118" t="s">
        <v>47</v>
      </c>
      <c r="J118" t="s">
        <v>53</v>
      </c>
      <c r="K118" s="1">
        <v>658404</v>
      </c>
      <c r="L118" s="7">
        <v>36</v>
      </c>
    </row>
    <row r="119" spans="2:12">
      <c r="B119" s="4">
        <f t="shared" si="36"/>
        <v>2026</v>
      </c>
      <c r="C119" s="8" t="str">
        <f t="shared" si="60"/>
        <v>Mar</v>
      </c>
      <c r="D119" s="8">
        <v>31</v>
      </c>
      <c r="E119" t="str">
        <f t="shared" si="64"/>
        <v>SALES TO MARKET</v>
      </c>
      <c r="F119" s="4" t="s">
        <v>10</v>
      </c>
      <c r="G119" t="s">
        <v>41</v>
      </c>
      <c r="H119" s="4" t="s">
        <v>22</v>
      </c>
      <c r="I119" t="s">
        <v>44</v>
      </c>
      <c r="J119" t="s">
        <v>50</v>
      </c>
      <c r="K119" s="3">
        <v>331920</v>
      </c>
      <c r="L119" s="6">
        <v>48</v>
      </c>
    </row>
    <row r="120" spans="2:12">
      <c r="B120" s="4">
        <f t="shared" si="36"/>
        <v>2026</v>
      </c>
      <c r="C120" s="8" t="str">
        <f t="shared" si="60"/>
        <v>Mar</v>
      </c>
      <c r="D120" s="8">
        <v>31</v>
      </c>
      <c r="E120" t="str">
        <f t="shared" ref="E120:H122" si="68">+E119</f>
        <v>SALES TO MARKET</v>
      </c>
      <c r="F120" s="4" t="str">
        <f t="shared" si="68"/>
        <v>MBS</v>
      </c>
      <c r="G120" t="str">
        <f t="shared" si="68"/>
        <v>NKA</v>
      </c>
      <c r="H120" s="4" t="str">
        <f t="shared" si="68"/>
        <v>ALFAMART</v>
      </c>
      <c r="I120" t="s">
        <v>45</v>
      </c>
      <c r="J120" t="s">
        <v>51</v>
      </c>
      <c r="K120" s="3">
        <v>638736</v>
      </c>
      <c r="L120" s="6">
        <v>48</v>
      </c>
    </row>
    <row r="121" spans="2:12">
      <c r="B121" s="4">
        <f t="shared" si="36"/>
        <v>2026</v>
      </c>
      <c r="C121" s="8" t="str">
        <f t="shared" si="60"/>
        <v>Mar</v>
      </c>
      <c r="D121" s="8">
        <v>31</v>
      </c>
      <c r="E121" t="str">
        <f t="shared" si="68"/>
        <v>SALES TO MARKET</v>
      </c>
      <c r="F121" s="4" t="str">
        <f t="shared" si="68"/>
        <v>MBS</v>
      </c>
      <c r="G121" t="str">
        <f t="shared" si="68"/>
        <v>NKA</v>
      </c>
      <c r="H121" s="4" t="str">
        <f t="shared" si="68"/>
        <v>ALFAMART</v>
      </c>
      <c r="I121" t="s">
        <v>46</v>
      </c>
      <c r="J121" t="s">
        <v>52</v>
      </c>
      <c r="K121" s="3">
        <v>121118293</v>
      </c>
      <c r="L121" s="6">
        <v>11755</v>
      </c>
    </row>
    <row r="122" spans="2:12">
      <c r="B122" s="4">
        <f t="shared" si="36"/>
        <v>2026</v>
      </c>
      <c r="C122" s="8" t="str">
        <f t="shared" si="60"/>
        <v>Mar</v>
      </c>
      <c r="D122" s="8">
        <v>31</v>
      </c>
      <c r="E122" t="str">
        <f t="shared" si="68"/>
        <v>SALES TO MARKET</v>
      </c>
      <c r="F122" s="4" t="str">
        <f t="shared" si="68"/>
        <v>MBS</v>
      </c>
      <c r="G122" t="str">
        <f t="shared" si="68"/>
        <v>NKA</v>
      </c>
      <c r="H122" s="4" t="str">
        <f t="shared" si="68"/>
        <v>ALFAMART</v>
      </c>
      <c r="I122" t="s">
        <v>47</v>
      </c>
      <c r="J122" t="s">
        <v>53</v>
      </c>
      <c r="K122" s="3">
        <v>8477490</v>
      </c>
      <c r="L122" s="6">
        <v>490</v>
      </c>
    </row>
    <row r="123" spans="2:12">
      <c r="B123" s="4">
        <f t="shared" si="36"/>
        <v>2026</v>
      </c>
      <c r="C123" s="8" t="str">
        <f t="shared" si="60"/>
        <v>Mar</v>
      </c>
      <c r="D123" s="8">
        <v>31</v>
      </c>
      <c r="E123" t="str">
        <f t="shared" ref="E123:G123" si="69">+E122</f>
        <v>SALES TO MARKET</v>
      </c>
      <c r="F123" s="4" t="str">
        <f t="shared" si="69"/>
        <v>MBS</v>
      </c>
      <c r="G123" t="str">
        <f t="shared" si="69"/>
        <v>NKA</v>
      </c>
      <c r="H123" s="4" t="s">
        <v>23</v>
      </c>
      <c r="I123" t="s">
        <v>45</v>
      </c>
      <c r="J123" t="s">
        <v>51</v>
      </c>
      <c r="K123" s="3">
        <v>21996471</v>
      </c>
      <c r="L123" s="6">
        <v>1653</v>
      </c>
    </row>
    <row r="124" spans="2:12">
      <c r="B124" s="4">
        <f t="shared" si="36"/>
        <v>2026</v>
      </c>
      <c r="C124" s="8" t="str">
        <f t="shared" si="60"/>
        <v>Mar</v>
      </c>
      <c r="D124" s="8">
        <v>31</v>
      </c>
      <c r="E124" t="str">
        <f t="shared" ref="E124:H125" si="70">+E123</f>
        <v>SALES TO MARKET</v>
      </c>
      <c r="F124" s="4" t="str">
        <f t="shared" si="70"/>
        <v>MBS</v>
      </c>
      <c r="G124" t="str">
        <f t="shared" si="70"/>
        <v>NKA</v>
      </c>
      <c r="H124" s="4" t="str">
        <f t="shared" si="70"/>
        <v>ALFAMIDI</v>
      </c>
      <c r="I124" t="s">
        <v>46</v>
      </c>
      <c r="J124" t="s">
        <v>52</v>
      </c>
      <c r="K124" s="3">
        <v>18055208</v>
      </c>
      <c r="L124" s="6">
        <v>1752</v>
      </c>
    </row>
    <row r="125" spans="2:12">
      <c r="B125" s="4">
        <f t="shared" si="36"/>
        <v>2026</v>
      </c>
      <c r="C125" s="8" t="str">
        <f t="shared" si="60"/>
        <v>Mar</v>
      </c>
      <c r="D125" s="8">
        <v>31</v>
      </c>
      <c r="E125" t="str">
        <f t="shared" si="70"/>
        <v>SALES TO MARKET</v>
      </c>
      <c r="F125" s="4" t="str">
        <f t="shared" si="70"/>
        <v>MBS</v>
      </c>
      <c r="G125" t="str">
        <f t="shared" si="70"/>
        <v>NKA</v>
      </c>
      <c r="H125" s="4" t="str">
        <f t="shared" si="70"/>
        <v>ALFAMIDI</v>
      </c>
      <c r="I125" t="s">
        <v>47</v>
      </c>
      <c r="J125" t="s">
        <v>53</v>
      </c>
      <c r="K125" s="3">
        <v>16349445</v>
      </c>
      <c r="L125" s="6">
        <v>945</v>
      </c>
    </row>
    <row r="126" spans="2:12">
      <c r="B126" s="4">
        <f t="shared" si="36"/>
        <v>2026</v>
      </c>
      <c r="C126" s="8" t="str">
        <f t="shared" si="60"/>
        <v>Mar</v>
      </c>
      <c r="D126" s="8">
        <v>31</v>
      </c>
      <c r="E126" t="str">
        <f t="shared" ref="E126:G126" si="71">+E125</f>
        <v>SALES TO MARKET</v>
      </c>
      <c r="F126" s="4" t="str">
        <f t="shared" si="71"/>
        <v>MBS</v>
      </c>
      <c r="G126" t="str">
        <f t="shared" si="71"/>
        <v>NKA</v>
      </c>
      <c r="H126" s="4" t="s">
        <v>26</v>
      </c>
      <c r="I126" t="s">
        <v>46</v>
      </c>
      <c r="J126" t="s">
        <v>52</v>
      </c>
      <c r="K126" s="3">
        <v>8586751</v>
      </c>
      <c r="L126" s="6">
        <v>833</v>
      </c>
    </row>
    <row r="127" spans="2:12">
      <c r="B127" s="4">
        <f t="shared" si="36"/>
        <v>2026</v>
      </c>
      <c r="C127" s="8" t="str">
        <f t="shared" si="60"/>
        <v>Mar</v>
      </c>
      <c r="D127" s="8">
        <v>31</v>
      </c>
      <c r="E127" t="str">
        <f t="shared" ref="E127:H127" si="72">+E126</f>
        <v>SALES TO MARKET</v>
      </c>
      <c r="F127" s="4" t="str">
        <f t="shared" si="72"/>
        <v>MBS</v>
      </c>
      <c r="G127" t="str">
        <f t="shared" si="72"/>
        <v>NKA</v>
      </c>
      <c r="H127" s="4" t="str">
        <f t="shared" si="72"/>
        <v>INDOGROSIR</v>
      </c>
      <c r="I127" t="s">
        <v>47</v>
      </c>
      <c r="J127" t="s">
        <v>53</v>
      </c>
      <c r="K127" s="3">
        <v>3737016</v>
      </c>
      <c r="L127" s="6">
        <v>216</v>
      </c>
    </row>
    <row r="128" spans="2:12">
      <c r="B128" s="4">
        <f t="shared" si="36"/>
        <v>2026</v>
      </c>
      <c r="C128" s="8" t="str">
        <f t="shared" si="60"/>
        <v>Mar</v>
      </c>
      <c r="D128" s="8">
        <v>31</v>
      </c>
      <c r="E128" t="str">
        <f t="shared" ref="E128:G129" si="73">+E127</f>
        <v>SALES TO MARKET</v>
      </c>
      <c r="F128" s="4" t="str">
        <f t="shared" si="73"/>
        <v>MBS</v>
      </c>
      <c r="G128" t="str">
        <f t="shared" si="73"/>
        <v>NKA</v>
      </c>
      <c r="H128" s="4" t="s">
        <v>27</v>
      </c>
      <c r="I128" t="s">
        <v>46</v>
      </c>
      <c r="J128" t="s">
        <v>52</v>
      </c>
      <c r="K128" s="3">
        <v>111814684</v>
      </c>
      <c r="L128" s="6">
        <v>10852</v>
      </c>
    </row>
    <row r="129" spans="2:12">
      <c r="B129" s="4">
        <f t="shared" si="36"/>
        <v>2026</v>
      </c>
      <c r="C129" s="8" t="str">
        <f t="shared" si="60"/>
        <v>Mar</v>
      </c>
      <c r="D129" s="8">
        <v>31</v>
      </c>
      <c r="E129" t="str">
        <f t="shared" si="73"/>
        <v>SALES TO MARKET</v>
      </c>
      <c r="F129" s="4" t="str">
        <f t="shared" si="73"/>
        <v>MBS</v>
      </c>
      <c r="G129" t="str">
        <f t="shared" si="73"/>
        <v>NKA</v>
      </c>
      <c r="H129" s="4" t="s">
        <v>28</v>
      </c>
      <c r="I129" t="s">
        <v>46</v>
      </c>
      <c r="J129" t="s">
        <v>52</v>
      </c>
      <c r="K129" s="3">
        <v>-154545</v>
      </c>
      <c r="L129" s="6">
        <v>-15</v>
      </c>
    </row>
    <row r="130" spans="2:12">
      <c r="B130" s="4">
        <f t="shared" si="36"/>
        <v>2026</v>
      </c>
      <c r="C130" s="8" t="str">
        <f t="shared" si="60"/>
        <v>Mar</v>
      </c>
      <c r="D130" s="8">
        <v>31</v>
      </c>
      <c r="E130" t="str">
        <f t="shared" ref="E130:H130" si="74">+E129</f>
        <v>SALES TO MARKET</v>
      </c>
      <c r="F130" s="4" t="str">
        <f t="shared" si="74"/>
        <v>MBS</v>
      </c>
      <c r="G130" t="str">
        <f t="shared" si="74"/>
        <v>NKA</v>
      </c>
      <c r="H130" s="4" t="str">
        <f t="shared" si="74"/>
        <v>LION SUPERINDO</v>
      </c>
      <c r="I130" t="s">
        <v>47</v>
      </c>
      <c r="J130" t="s">
        <v>53</v>
      </c>
      <c r="K130" s="3">
        <v>4775076</v>
      </c>
      <c r="L130" s="6">
        <v>276</v>
      </c>
    </row>
    <row r="131" spans="2:12">
      <c r="B131" s="4">
        <f t="shared" si="36"/>
        <v>2026</v>
      </c>
      <c r="C131" s="8" t="str">
        <f t="shared" si="60"/>
        <v>Mar</v>
      </c>
      <c r="D131" s="8">
        <v>31</v>
      </c>
      <c r="E131" t="str">
        <f t="shared" ref="E131:F131" si="75">+E130</f>
        <v>SALES TO MARKET</v>
      </c>
      <c r="F131" s="4" t="str">
        <f t="shared" si="75"/>
        <v>MBS</v>
      </c>
      <c r="G131" t="s">
        <v>42</v>
      </c>
      <c r="H131" s="4" t="s">
        <v>21</v>
      </c>
      <c r="I131" t="s">
        <v>45</v>
      </c>
      <c r="J131" t="s">
        <v>51</v>
      </c>
      <c r="K131" s="3">
        <v>79842</v>
      </c>
      <c r="L131" s="6">
        <v>6</v>
      </c>
    </row>
    <row r="132" spans="2:12">
      <c r="B132" s="4">
        <f t="shared" ref="B132:B195" si="76">+B131</f>
        <v>2026</v>
      </c>
      <c r="C132" s="8" t="str">
        <f t="shared" si="60"/>
        <v>Mar</v>
      </c>
      <c r="D132" s="8">
        <v>31</v>
      </c>
      <c r="E132" t="str">
        <f t="shared" ref="E132:G132" si="77">+E131</f>
        <v>SALES TO MARKET</v>
      </c>
      <c r="F132" s="4" t="str">
        <f t="shared" si="77"/>
        <v>MBS</v>
      </c>
      <c r="G132" t="str">
        <f t="shared" si="77"/>
        <v>NON NKA</v>
      </c>
      <c r="H132" s="4" t="s">
        <v>24</v>
      </c>
      <c r="I132" t="s">
        <v>44</v>
      </c>
      <c r="J132" t="s">
        <v>50</v>
      </c>
      <c r="K132" s="3">
        <v>767565</v>
      </c>
      <c r="L132" s="6">
        <v>111</v>
      </c>
    </row>
    <row r="133" spans="2:12">
      <c r="B133" s="4">
        <f t="shared" si="76"/>
        <v>2026</v>
      </c>
      <c r="C133" s="8" t="str">
        <f t="shared" si="60"/>
        <v>Mar</v>
      </c>
      <c r="D133" s="8">
        <v>31</v>
      </c>
      <c r="E133" t="str">
        <f t="shared" ref="E133:H135" si="78">+E132</f>
        <v>SALES TO MARKET</v>
      </c>
      <c r="F133" s="4" t="str">
        <f t="shared" si="78"/>
        <v>MBS</v>
      </c>
      <c r="G133" t="str">
        <f t="shared" si="78"/>
        <v>NON NKA</v>
      </c>
      <c r="H133" s="4" t="str">
        <f t="shared" si="78"/>
        <v>BORMA GROUP</v>
      </c>
      <c r="I133" t="s">
        <v>45</v>
      </c>
      <c r="J133" t="s">
        <v>51</v>
      </c>
      <c r="K133" s="3">
        <v>2794470</v>
      </c>
      <c r="L133" s="6">
        <v>210</v>
      </c>
    </row>
    <row r="134" spans="2:12">
      <c r="B134" s="4">
        <f t="shared" si="76"/>
        <v>2026</v>
      </c>
      <c r="C134" s="8" t="str">
        <f t="shared" si="60"/>
        <v>Mar</v>
      </c>
      <c r="D134" s="8">
        <v>31</v>
      </c>
      <c r="E134" t="str">
        <f t="shared" si="78"/>
        <v>SALES TO MARKET</v>
      </c>
      <c r="F134" s="4" t="str">
        <f t="shared" si="78"/>
        <v>MBS</v>
      </c>
      <c r="G134" t="str">
        <f t="shared" si="78"/>
        <v>NON NKA</v>
      </c>
      <c r="H134" s="4" t="str">
        <f t="shared" si="78"/>
        <v>BORMA GROUP</v>
      </c>
      <c r="I134" t="s">
        <v>46</v>
      </c>
      <c r="J134" t="s">
        <v>52</v>
      </c>
      <c r="K134" s="3">
        <v>3822413</v>
      </c>
      <c r="L134" s="6">
        <v>371</v>
      </c>
    </row>
    <row r="135" spans="2:12">
      <c r="B135" s="4">
        <f t="shared" si="76"/>
        <v>2026</v>
      </c>
      <c r="C135" s="8" t="str">
        <f t="shared" si="60"/>
        <v>Mar</v>
      </c>
      <c r="D135" s="8">
        <v>31</v>
      </c>
      <c r="E135" t="str">
        <f t="shared" si="78"/>
        <v>SALES TO MARKET</v>
      </c>
      <c r="F135" s="4" t="str">
        <f t="shared" si="78"/>
        <v>MBS</v>
      </c>
      <c r="G135" t="str">
        <f t="shared" si="78"/>
        <v>NON NKA</v>
      </c>
      <c r="H135" s="4" t="str">
        <f t="shared" si="78"/>
        <v>BORMA GROUP</v>
      </c>
      <c r="I135" t="s">
        <v>47</v>
      </c>
      <c r="J135" t="s">
        <v>53</v>
      </c>
      <c r="K135" s="3">
        <v>3131481</v>
      </c>
      <c r="L135" s="6">
        <v>181</v>
      </c>
    </row>
    <row r="136" spans="2:12">
      <c r="B136" s="4">
        <f t="shared" si="76"/>
        <v>2026</v>
      </c>
      <c r="C136" s="8" t="str">
        <f t="shared" si="60"/>
        <v>Mar</v>
      </c>
      <c r="D136" s="8">
        <v>31</v>
      </c>
      <c r="E136" t="str">
        <f t="shared" ref="E136:G136" si="79">+E135</f>
        <v>SALES TO MARKET</v>
      </c>
      <c r="F136" s="4" t="str">
        <f t="shared" si="79"/>
        <v>MBS</v>
      </c>
      <c r="G136" t="str">
        <f t="shared" si="79"/>
        <v>NON NKA</v>
      </c>
      <c r="H136" s="4" t="s">
        <v>29</v>
      </c>
      <c r="I136" t="s">
        <v>44</v>
      </c>
      <c r="J136" t="s">
        <v>50</v>
      </c>
      <c r="K136" s="3">
        <v>-663840</v>
      </c>
      <c r="L136" s="6">
        <v>-96</v>
      </c>
    </row>
    <row r="137" spans="2:12">
      <c r="B137" s="4">
        <f t="shared" si="76"/>
        <v>2026</v>
      </c>
      <c r="C137" s="8" t="str">
        <f t="shared" si="60"/>
        <v>Mar</v>
      </c>
      <c r="D137" s="8">
        <v>31</v>
      </c>
      <c r="E137" t="str">
        <f t="shared" ref="E137:H139" si="80">+E136</f>
        <v>SALES TO MARKET</v>
      </c>
      <c r="F137" s="4" t="str">
        <f t="shared" si="80"/>
        <v>MBS</v>
      </c>
      <c r="G137" t="str">
        <f t="shared" si="80"/>
        <v>NON NKA</v>
      </c>
      <c r="H137" s="4" t="str">
        <f t="shared" si="80"/>
        <v>NAGA SWALAYAN GROUP</v>
      </c>
      <c r="I137" t="s">
        <v>45</v>
      </c>
      <c r="J137" t="s">
        <v>51</v>
      </c>
      <c r="K137" s="3">
        <v>-1037946</v>
      </c>
      <c r="L137" s="6">
        <v>-78</v>
      </c>
    </row>
    <row r="138" spans="2:12">
      <c r="B138" s="4">
        <f t="shared" si="76"/>
        <v>2026</v>
      </c>
      <c r="C138" s="8" t="str">
        <f t="shared" si="60"/>
        <v>Mar</v>
      </c>
      <c r="D138" s="8">
        <v>31</v>
      </c>
      <c r="E138" t="str">
        <f t="shared" si="80"/>
        <v>SALES TO MARKET</v>
      </c>
      <c r="F138" s="4" t="str">
        <f t="shared" si="80"/>
        <v>MBS</v>
      </c>
      <c r="G138" t="str">
        <f t="shared" si="80"/>
        <v>NON NKA</v>
      </c>
      <c r="H138" s="4" t="str">
        <f t="shared" si="80"/>
        <v>NAGA SWALAYAN GROUP</v>
      </c>
      <c r="I138" t="s">
        <v>46</v>
      </c>
      <c r="J138" t="s">
        <v>52</v>
      </c>
      <c r="K138" s="3">
        <v>-1401208</v>
      </c>
      <c r="L138" s="6">
        <v>-136</v>
      </c>
    </row>
    <row r="139" spans="2:12">
      <c r="B139" s="4">
        <f t="shared" si="76"/>
        <v>2026</v>
      </c>
      <c r="C139" s="8" t="str">
        <f t="shared" si="60"/>
        <v>Mar</v>
      </c>
      <c r="D139" s="8">
        <v>31</v>
      </c>
      <c r="E139" t="str">
        <f t="shared" si="80"/>
        <v>SALES TO MARKET</v>
      </c>
      <c r="F139" s="4" t="str">
        <f t="shared" si="80"/>
        <v>MBS</v>
      </c>
      <c r="G139" t="str">
        <f t="shared" si="80"/>
        <v>NON NKA</v>
      </c>
      <c r="H139" s="4" t="str">
        <f t="shared" si="80"/>
        <v>NAGA SWALAYAN GROUP</v>
      </c>
      <c r="I139" t="s">
        <v>47</v>
      </c>
      <c r="J139" t="s">
        <v>53</v>
      </c>
      <c r="K139" s="3">
        <v>-2179926</v>
      </c>
      <c r="L139" s="6">
        <v>-126</v>
      </c>
    </row>
    <row r="140" spans="2:12">
      <c r="B140" s="4">
        <f t="shared" si="76"/>
        <v>2026</v>
      </c>
      <c r="C140" s="8" t="str">
        <f t="shared" si="60"/>
        <v>Mar</v>
      </c>
      <c r="D140" s="8">
        <v>31</v>
      </c>
      <c r="E140" t="str">
        <f t="shared" ref="E140:G140" si="81">+E139</f>
        <v>SALES TO MARKET</v>
      </c>
      <c r="F140" s="4" t="str">
        <f t="shared" si="81"/>
        <v>MBS</v>
      </c>
      <c r="G140" t="str">
        <f t="shared" si="81"/>
        <v>NON NKA</v>
      </c>
      <c r="H140" s="4" t="s">
        <v>30</v>
      </c>
      <c r="I140" t="s">
        <v>44</v>
      </c>
      <c r="J140" t="s">
        <v>50</v>
      </c>
      <c r="K140" s="3">
        <v>449475</v>
      </c>
      <c r="L140" s="6">
        <v>65</v>
      </c>
    </row>
    <row r="141" spans="2:12">
      <c r="B141" s="4">
        <f t="shared" si="76"/>
        <v>2026</v>
      </c>
      <c r="C141" s="8" t="str">
        <f t="shared" si="60"/>
        <v>Mar</v>
      </c>
      <c r="D141" s="8">
        <v>31</v>
      </c>
      <c r="E141" t="str">
        <f t="shared" ref="E141:H143" si="82">+E140</f>
        <v>SALES TO MARKET</v>
      </c>
      <c r="F141" s="4" t="str">
        <f t="shared" si="82"/>
        <v>MBS</v>
      </c>
      <c r="G141" t="str">
        <f t="shared" si="82"/>
        <v>NON NKA</v>
      </c>
      <c r="H141" s="4" t="str">
        <f t="shared" si="82"/>
        <v>OTHERS</v>
      </c>
      <c r="I141" t="s">
        <v>45</v>
      </c>
      <c r="J141" t="s">
        <v>51</v>
      </c>
      <c r="K141" s="3">
        <v>758499</v>
      </c>
      <c r="L141" s="6">
        <v>57</v>
      </c>
    </row>
    <row r="142" spans="2:12">
      <c r="B142" s="4">
        <f t="shared" si="76"/>
        <v>2026</v>
      </c>
      <c r="C142" s="8" t="str">
        <f t="shared" si="60"/>
        <v>Mar</v>
      </c>
      <c r="D142" s="8">
        <v>31</v>
      </c>
      <c r="E142" t="str">
        <f t="shared" si="82"/>
        <v>SALES TO MARKET</v>
      </c>
      <c r="F142" s="4" t="str">
        <f t="shared" si="82"/>
        <v>MBS</v>
      </c>
      <c r="G142" t="str">
        <f t="shared" si="82"/>
        <v>NON NKA</v>
      </c>
      <c r="H142" s="4" t="str">
        <f t="shared" si="82"/>
        <v>OTHERS</v>
      </c>
      <c r="I142" t="s">
        <v>46</v>
      </c>
      <c r="J142" t="s">
        <v>52</v>
      </c>
      <c r="K142" s="3">
        <v>1123868</v>
      </c>
      <c r="L142" s="6">
        <v>100</v>
      </c>
    </row>
    <row r="143" spans="2:12">
      <c r="B143" s="4">
        <f t="shared" si="76"/>
        <v>2026</v>
      </c>
      <c r="C143" s="8" t="str">
        <f t="shared" si="60"/>
        <v>Mar</v>
      </c>
      <c r="D143" s="8">
        <v>31</v>
      </c>
      <c r="E143" t="str">
        <f t="shared" si="82"/>
        <v>SALES TO MARKET</v>
      </c>
      <c r="F143" s="4" t="str">
        <f t="shared" si="82"/>
        <v>MBS</v>
      </c>
      <c r="G143" t="str">
        <f t="shared" si="82"/>
        <v>NON NKA</v>
      </c>
      <c r="H143" s="4" t="str">
        <f t="shared" si="82"/>
        <v>OTHERS</v>
      </c>
      <c r="I143" t="s">
        <v>47</v>
      </c>
      <c r="J143" t="s">
        <v>53</v>
      </c>
      <c r="K143" s="3">
        <v>2647053</v>
      </c>
      <c r="L143" s="6">
        <v>153</v>
      </c>
    </row>
    <row r="144" spans="2:12">
      <c r="B144" s="4">
        <f t="shared" si="76"/>
        <v>2026</v>
      </c>
      <c r="C144" s="8" t="str">
        <f t="shared" si="60"/>
        <v>Mar</v>
      </c>
      <c r="D144" s="8">
        <v>31</v>
      </c>
      <c r="E144" t="str">
        <f t="shared" ref="E144:G144" si="83">+E143</f>
        <v>SALES TO MARKET</v>
      </c>
      <c r="F144" s="4" t="str">
        <f t="shared" si="83"/>
        <v>MBS</v>
      </c>
      <c r="G144" t="str">
        <f t="shared" si="83"/>
        <v>NON NKA</v>
      </c>
      <c r="H144" s="4" t="s">
        <v>31</v>
      </c>
      <c r="I144" t="s">
        <v>44</v>
      </c>
      <c r="J144" t="s">
        <v>50</v>
      </c>
      <c r="K144" s="3">
        <v>1057995</v>
      </c>
      <c r="L144" s="6">
        <v>153</v>
      </c>
    </row>
    <row r="145" spans="2:12">
      <c r="B145" s="4">
        <f t="shared" si="76"/>
        <v>2026</v>
      </c>
      <c r="C145" s="8" t="str">
        <f t="shared" si="60"/>
        <v>Mar</v>
      </c>
      <c r="D145" s="8">
        <v>31</v>
      </c>
      <c r="E145" t="str">
        <f t="shared" ref="E145:H147" si="84">+E144</f>
        <v>SALES TO MARKET</v>
      </c>
      <c r="F145" s="4" t="str">
        <f t="shared" si="84"/>
        <v>MBS</v>
      </c>
      <c r="G145" t="str">
        <f t="shared" si="84"/>
        <v>NON NKA</v>
      </c>
      <c r="H145" s="4" t="str">
        <f t="shared" si="84"/>
        <v>TIP-TOP SWALAYAN GROUP</v>
      </c>
      <c r="I145" t="s">
        <v>45</v>
      </c>
      <c r="J145" t="s">
        <v>51</v>
      </c>
      <c r="K145" s="3">
        <v>3193680</v>
      </c>
      <c r="L145" s="6">
        <v>240</v>
      </c>
    </row>
    <row r="146" spans="2:12">
      <c r="B146" s="4">
        <f t="shared" si="76"/>
        <v>2026</v>
      </c>
      <c r="C146" s="8" t="str">
        <f t="shared" si="60"/>
        <v>Mar</v>
      </c>
      <c r="D146" s="8">
        <v>31</v>
      </c>
      <c r="E146" t="str">
        <f t="shared" si="84"/>
        <v>SALES TO MARKET</v>
      </c>
      <c r="F146" s="4" t="str">
        <f t="shared" si="84"/>
        <v>MBS</v>
      </c>
      <c r="G146" t="str">
        <f t="shared" si="84"/>
        <v>NON NKA</v>
      </c>
      <c r="H146" s="4" t="str">
        <f t="shared" si="84"/>
        <v>TIP-TOP SWALAYAN GROUP</v>
      </c>
      <c r="I146" t="s">
        <v>46</v>
      </c>
      <c r="J146" t="s">
        <v>52</v>
      </c>
      <c r="K146" s="3">
        <v>2596356</v>
      </c>
      <c r="L146" s="6">
        <v>252</v>
      </c>
    </row>
    <row r="147" spans="2:12">
      <c r="B147" s="4">
        <f t="shared" si="76"/>
        <v>2026</v>
      </c>
      <c r="C147" s="8" t="str">
        <f t="shared" si="60"/>
        <v>Mar</v>
      </c>
      <c r="D147" s="8">
        <v>31</v>
      </c>
      <c r="E147" t="str">
        <f t="shared" si="84"/>
        <v>SALES TO MARKET</v>
      </c>
      <c r="F147" s="4" t="str">
        <f t="shared" si="84"/>
        <v>MBS</v>
      </c>
      <c r="G147" t="str">
        <f t="shared" si="84"/>
        <v>NON NKA</v>
      </c>
      <c r="H147" s="4" t="str">
        <f t="shared" si="84"/>
        <v>TIP-TOP SWALAYAN GROUP</v>
      </c>
      <c r="I147" t="s">
        <v>47</v>
      </c>
      <c r="J147" t="s">
        <v>53</v>
      </c>
      <c r="K147" s="3">
        <v>4117638</v>
      </c>
      <c r="L147" s="6">
        <v>238</v>
      </c>
    </row>
    <row r="148" spans="2:12">
      <c r="B148" s="4">
        <f t="shared" si="76"/>
        <v>2026</v>
      </c>
      <c r="C148" s="8" t="str">
        <f t="shared" si="60"/>
        <v>Mar</v>
      </c>
      <c r="D148" s="8">
        <v>31</v>
      </c>
      <c r="E148" t="str">
        <f t="shared" ref="E148:G148" si="85">+E147</f>
        <v>SALES TO MARKET</v>
      </c>
      <c r="F148" s="4" t="str">
        <f t="shared" si="85"/>
        <v>MBS</v>
      </c>
      <c r="G148" t="str">
        <f t="shared" si="85"/>
        <v>NON NKA</v>
      </c>
      <c r="H148" s="4" t="s">
        <v>32</v>
      </c>
      <c r="I148" t="s">
        <v>45</v>
      </c>
      <c r="J148" t="s">
        <v>51</v>
      </c>
      <c r="K148" s="3">
        <v>598815</v>
      </c>
      <c r="L148" s="6">
        <v>45</v>
      </c>
    </row>
    <row r="149" spans="2:12">
      <c r="B149" s="4">
        <f t="shared" si="76"/>
        <v>2026</v>
      </c>
      <c r="C149" s="8" t="str">
        <f t="shared" si="60"/>
        <v>Mar</v>
      </c>
      <c r="D149" s="8">
        <v>31</v>
      </c>
      <c r="E149" t="str">
        <f t="shared" ref="E149:H150" si="86">+E148</f>
        <v>SALES TO MARKET</v>
      </c>
      <c r="F149" s="4" t="str">
        <f t="shared" si="86"/>
        <v>MBS</v>
      </c>
      <c r="G149" t="str">
        <f t="shared" si="86"/>
        <v>NON NKA</v>
      </c>
      <c r="H149" s="4" t="str">
        <f t="shared" si="86"/>
        <v>YOGYA GROUP</v>
      </c>
      <c r="I149" t="s">
        <v>46</v>
      </c>
      <c r="J149" t="s">
        <v>52</v>
      </c>
      <c r="K149" s="3">
        <v>989088</v>
      </c>
      <c r="L149" s="6">
        <v>96</v>
      </c>
    </row>
    <row r="150" spans="2:12">
      <c r="B150" s="4">
        <f t="shared" si="76"/>
        <v>2026</v>
      </c>
      <c r="C150" s="8" t="str">
        <f t="shared" si="60"/>
        <v>Mar</v>
      </c>
      <c r="D150" s="8">
        <v>31</v>
      </c>
      <c r="E150" t="str">
        <f t="shared" si="86"/>
        <v>SALES TO MARKET</v>
      </c>
      <c r="F150" s="4" t="str">
        <f t="shared" si="86"/>
        <v>MBS</v>
      </c>
      <c r="G150" t="str">
        <f t="shared" si="86"/>
        <v>NON NKA</v>
      </c>
      <c r="H150" s="4" t="str">
        <f t="shared" si="86"/>
        <v>YOGYA GROUP</v>
      </c>
      <c r="I150" t="s">
        <v>47</v>
      </c>
      <c r="J150" t="s">
        <v>53</v>
      </c>
      <c r="K150" s="3">
        <v>4948086</v>
      </c>
      <c r="L150" s="6">
        <v>286</v>
      </c>
    </row>
    <row r="151" spans="2:12">
      <c r="B151" s="4">
        <f t="shared" si="76"/>
        <v>2026</v>
      </c>
      <c r="C151" s="8" t="str">
        <f t="shared" si="60"/>
        <v>Mar</v>
      </c>
      <c r="D151" s="8">
        <v>31</v>
      </c>
      <c r="E151" t="str">
        <f t="shared" ref="E151:G151" si="87">+E150</f>
        <v>SALES TO MARKET</v>
      </c>
      <c r="F151" s="4" t="str">
        <f t="shared" si="87"/>
        <v>MBS</v>
      </c>
      <c r="G151" t="str">
        <f t="shared" si="87"/>
        <v>NON NKA</v>
      </c>
      <c r="H151" s="4" t="s">
        <v>35</v>
      </c>
      <c r="I151" t="s">
        <v>46</v>
      </c>
      <c r="J151" t="s">
        <v>52</v>
      </c>
      <c r="K151" s="3">
        <v>123636</v>
      </c>
      <c r="L151" s="6">
        <v>12</v>
      </c>
    </row>
    <row r="152" spans="2:12">
      <c r="B152" s="4">
        <f t="shared" si="76"/>
        <v>2026</v>
      </c>
      <c r="C152" s="8" t="s">
        <v>5</v>
      </c>
      <c r="D152" s="8">
        <v>30</v>
      </c>
      <c r="E152" t="s">
        <v>16</v>
      </c>
      <c r="F152" s="4" t="s">
        <v>0</v>
      </c>
      <c r="G152" t="s">
        <v>39</v>
      </c>
      <c r="H152" s="4" t="s">
        <v>34</v>
      </c>
      <c r="I152" t="s">
        <v>44</v>
      </c>
      <c r="J152" t="s">
        <v>50</v>
      </c>
      <c r="K152" s="1">
        <v>6453384.96</v>
      </c>
      <c r="L152" s="7">
        <v>912</v>
      </c>
    </row>
    <row r="153" spans="2:12">
      <c r="B153" s="4">
        <f t="shared" si="76"/>
        <v>2026</v>
      </c>
      <c r="C153" s="8" t="str">
        <f t="shared" ref="C153:C184" si="88">+C152</f>
        <v>Apr</v>
      </c>
      <c r="D153" s="8">
        <v>30</v>
      </c>
      <c r="E153" t="str">
        <f t="shared" ref="E153:H155" si="89">+E152</f>
        <v>SALES TO DISTRIBUTOR</v>
      </c>
      <c r="F153" s="4" t="str">
        <f t="shared" si="89"/>
        <v>DIRECT</v>
      </c>
      <c r="G153" t="str">
        <f t="shared" si="89"/>
        <v>DISTRIBUTOR</v>
      </c>
      <c r="H153" s="4" t="str">
        <f t="shared" si="89"/>
        <v>KEBAYORAN PHARMA</v>
      </c>
      <c r="I153" t="s">
        <v>45</v>
      </c>
      <c r="J153" t="s">
        <v>51</v>
      </c>
      <c r="K153" s="1">
        <v>19607385.600000001</v>
      </c>
      <c r="L153" s="7">
        <v>1440</v>
      </c>
    </row>
    <row r="154" spans="2:12">
      <c r="B154" s="4">
        <f t="shared" si="76"/>
        <v>2026</v>
      </c>
      <c r="C154" s="8" t="str">
        <f t="shared" si="88"/>
        <v>Apr</v>
      </c>
      <c r="D154" s="8">
        <v>30</v>
      </c>
      <c r="E154" t="str">
        <f t="shared" si="89"/>
        <v>SALES TO DISTRIBUTOR</v>
      </c>
      <c r="F154" s="4" t="str">
        <f t="shared" si="89"/>
        <v>DIRECT</v>
      </c>
      <c r="G154" t="str">
        <f t="shared" si="89"/>
        <v>DISTRIBUTOR</v>
      </c>
      <c r="H154" s="4" t="str">
        <f t="shared" si="89"/>
        <v>KEBAYORAN PHARMA</v>
      </c>
      <c r="I154" t="s">
        <v>46</v>
      </c>
      <c r="J154" t="s">
        <v>52</v>
      </c>
      <c r="K154" s="1">
        <v>99362120</v>
      </c>
      <c r="L154" s="7">
        <v>9425</v>
      </c>
    </row>
    <row r="155" spans="2:12">
      <c r="B155" s="4">
        <f t="shared" si="76"/>
        <v>2026</v>
      </c>
      <c r="C155" s="8" t="str">
        <f t="shared" si="88"/>
        <v>Apr</v>
      </c>
      <c r="D155" s="8">
        <v>30</v>
      </c>
      <c r="E155" t="str">
        <f t="shared" si="89"/>
        <v>SALES TO DISTRIBUTOR</v>
      </c>
      <c r="F155" s="4" t="str">
        <f t="shared" si="89"/>
        <v>DIRECT</v>
      </c>
      <c r="G155" t="str">
        <f t="shared" si="89"/>
        <v>DISTRIBUTOR</v>
      </c>
      <c r="H155" s="4" t="str">
        <f t="shared" si="89"/>
        <v>KEBAYORAN PHARMA</v>
      </c>
      <c r="I155" t="s">
        <v>47</v>
      </c>
      <c r="J155" t="s">
        <v>53</v>
      </c>
      <c r="K155" s="1">
        <v>29740972.799999997</v>
      </c>
      <c r="L155" s="7">
        <v>1680</v>
      </c>
    </row>
    <row r="156" spans="2:12">
      <c r="B156" s="4">
        <f t="shared" si="76"/>
        <v>2026</v>
      </c>
      <c r="C156" s="8" t="str">
        <f t="shared" si="88"/>
        <v>Apr</v>
      </c>
      <c r="D156" s="8">
        <v>30</v>
      </c>
      <c r="E156" t="str">
        <f t="shared" ref="E156:G156" si="90">+E155</f>
        <v>SALES TO DISTRIBUTOR</v>
      </c>
      <c r="F156" s="4" t="str">
        <f t="shared" si="90"/>
        <v>DIRECT</v>
      </c>
      <c r="G156" t="str">
        <f t="shared" si="90"/>
        <v>DISTRIBUTOR</v>
      </c>
      <c r="H156" s="4" t="s">
        <v>36</v>
      </c>
      <c r="I156" t="s">
        <v>48</v>
      </c>
      <c r="J156" t="s">
        <v>54</v>
      </c>
      <c r="K156" s="1">
        <v>712800</v>
      </c>
      <c r="L156" s="7">
        <v>36</v>
      </c>
    </row>
    <row r="157" spans="2:12">
      <c r="B157" s="4">
        <f t="shared" si="76"/>
        <v>2026</v>
      </c>
      <c r="C157" s="8" t="str">
        <f t="shared" si="88"/>
        <v>Apr</v>
      </c>
      <c r="D157" s="8">
        <v>30</v>
      </c>
      <c r="E157" t="str">
        <f t="shared" ref="E157:H161" si="91">+E156</f>
        <v>SALES TO DISTRIBUTOR</v>
      </c>
      <c r="F157" s="4" t="str">
        <f t="shared" si="91"/>
        <v>DIRECT</v>
      </c>
      <c r="G157" t="str">
        <f t="shared" si="91"/>
        <v>DISTRIBUTOR</v>
      </c>
      <c r="H157" s="4" t="str">
        <f t="shared" si="91"/>
        <v>PRIMA MEDITAMA</v>
      </c>
      <c r="I157" t="s">
        <v>49</v>
      </c>
      <c r="J157" t="s">
        <v>55</v>
      </c>
      <c r="K157" s="1">
        <v>625680</v>
      </c>
      <c r="L157" s="7">
        <v>36</v>
      </c>
    </row>
    <row r="158" spans="2:12">
      <c r="B158" s="4">
        <f t="shared" si="76"/>
        <v>2026</v>
      </c>
      <c r="C158" s="8" t="str">
        <f t="shared" si="88"/>
        <v>Apr</v>
      </c>
      <c r="D158" s="8">
        <v>30</v>
      </c>
      <c r="E158" t="str">
        <f t="shared" si="91"/>
        <v>SALES TO DISTRIBUTOR</v>
      </c>
      <c r="F158" s="4" t="str">
        <f t="shared" si="91"/>
        <v>DIRECT</v>
      </c>
      <c r="G158" t="str">
        <f t="shared" si="91"/>
        <v>DISTRIBUTOR</v>
      </c>
      <c r="H158" s="4" t="str">
        <f t="shared" si="91"/>
        <v>PRIMA MEDITAMA</v>
      </c>
      <c r="I158" t="s">
        <v>44</v>
      </c>
      <c r="J158" t="s">
        <v>50</v>
      </c>
      <c r="K158" s="1">
        <v>339651.83999999997</v>
      </c>
      <c r="L158" s="7">
        <v>48</v>
      </c>
    </row>
    <row r="159" spans="2:12">
      <c r="B159" s="4">
        <f t="shared" si="76"/>
        <v>2026</v>
      </c>
      <c r="C159" s="8" t="str">
        <f t="shared" si="88"/>
        <v>Apr</v>
      </c>
      <c r="D159" s="8">
        <v>30</v>
      </c>
      <c r="E159" t="str">
        <f t="shared" si="91"/>
        <v>SALES TO DISTRIBUTOR</v>
      </c>
      <c r="F159" s="4" t="str">
        <f t="shared" si="91"/>
        <v>DIRECT</v>
      </c>
      <c r="G159" t="str">
        <f t="shared" si="91"/>
        <v>DISTRIBUTOR</v>
      </c>
      <c r="H159" s="4" t="str">
        <f t="shared" si="91"/>
        <v>PRIMA MEDITAMA</v>
      </c>
      <c r="I159" t="s">
        <v>45</v>
      </c>
      <c r="J159" t="s">
        <v>51</v>
      </c>
      <c r="K159" s="1">
        <v>1633948.8</v>
      </c>
      <c r="L159" s="7">
        <v>120</v>
      </c>
    </row>
    <row r="160" spans="2:12">
      <c r="B160" s="4">
        <f t="shared" si="76"/>
        <v>2026</v>
      </c>
      <c r="C160" s="8" t="str">
        <f t="shared" si="88"/>
        <v>Apr</v>
      </c>
      <c r="D160" s="8">
        <v>30</v>
      </c>
      <c r="E160" t="str">
        <f t="shared" si="91"/>
        <v>SALES TO DISTRIBUTOR</v>
      </c>
      <c r="F160" s="4" t="str">
        <f t="shared" si="91"/>
        <v>DIRECT</v>
      </c>
      <c r="G160" t="str">
        <f t="shared" si="91"/>
        <v>DISTRIBUTOR</v>
      </c>
      <c r="H160" s="4" t="str">
        <f t="shared" si="91"/>
        <v>PRIMA MEDITAMA</v>
      </c>
      <c r="I160" t="s">
        <v>46</v>
      </c>
      <c r="J160" t="s">
        <v>52</v>
      </c>
      <c r="K160" s="1">
        <v>13915968</v>
      </c>
      <c r="L160" s="7">
        <v>1320</v>
      </c>
    </row>
    <row r="161" spans="2:12">
      <c r="B161" s="4">
        <f t="shared" si="76"/>
        <v>2026</v>
      </c>
      <c r="C161" s="8" t="str">
        <f t="shared" si="88"/>
        <v>Apr</v>
      </c>
      <c r="D161" s="8">
        <v>30</v>
      </c>
      <c r="E161" t="str">
        <f t="shared" si="91"/>
        <v>SALES TO DISTRIBUTOR</v>
      </c>
      <c r="F161" s="4" t="str">
        <f t="shared" si="91"/>
        <v>DIRECT</v>
      </c>
      <c r="G161" t="str">
        <f t="shared" si="91"/>
        <v>DISTRIBUTOR</v>
      </c>
      <c r="H161" s="4" t="str">
        <f t="shared" si="91"/>
        <v>PRIMA MEDITAMA</v>
      </c>
      <c r="I161" t="s">
        <v>47</v>
      </c>
      <c r="J161" t="s">
        <v>53</v>
      </c>
      <c r="K161" s="1">
        <v>3823839.36</v>
      </c>
      <c r="L161" s="7">
        <v>216</v>
      </c>
    </row>
    <row r="162" spans="2:12">
      <c r="B162" s="4">
        <f t="shared" si="76"/>
        <v>2026</v>
      </c>
      <c r="C162" s="8" t="str">
        <f t="shared" si="88"/>
        <v>Apr</v>
      </c>
      <c r="D162" s="8">
        <v>30</v>
      </c>
      <c r="E162" t="str">
        <f t="shared" ref="E162:G162" si="92">+E161</f>
        <v>SALES TO DISTRIBUTOR</v>
      </c>
      <c r="F162" s="4" t="str">
        <f t="shared" si="92"/>
        <v>DIRECT</v>
      </c>
      <c r="G162" t="str">
        <f t="shared" si="92"/>
        <v>DISTRIBUTOR</v>
      </c>
      <c r="H162" s="4" t="s">
        <v>37</v>
      </c>
      <c r="I162" t="s">
        <v>48</v>
      </c>
      <c r="J162" t="s">
        <v>54</v>
      </c>
      <c r="K162" s="1">
        <v>1425600</v>
      </c>
      <c r="L162" s="7">
        <v>72</v>
      </c>
    </row>
    <row r="163" spans="2:12">
      <c r="B163" s="4">
        <f t="shared" si="76"/>
        <v>2026</v>
      </c>
      <c r="C163" s="8" t="str">
        <f t="shared" si="88"/>
        <v>Apr</v>
      </c>
      <c r="D163" s="8">
        <v>30</v>
      </c>
      <c r="E163" t="str">
        <f t="shared" ref="E163:H167" si="93">+E162</f>
        <v>SALES TO DISTRIBUTOR</v>
      </c>
      <c r="F163" s="4" t="str">
        <f t="shared" si="93"/>
        <v>DIRECT</v>
      </c>
      <c r="G163" t="str">
        <f t="shared" si="93"/>
        <v>DISTRIBUTOR</v>
      </c>
      <c r="H163" s="4" t="str">
        <f t="shared" si="93"/>
        <v>VARIA INDAH PARAMITA</v>
      </c>
      <c r="I163" t="s">
        <v>49</v>
      </c>
      <c r="J163" t="s">
        <v>55</v>
      </c>
      <c r="K163" s="1">
        <v>1251360</v>
      </c>
      <c r="L163" s="7">
        <v>72</v>
      </c>
    </row>
    <row r="164" spans="2:12">
      <c r="B164" s="4">
        <f t="shared" si="76"/>
        <v>2026</v>
      </c>
      <c r="C164" s="8" t="str">
        <f t="shared" si="88"/>
        <v>Apr</v>
      </c>
      <c r="D164" s="8">
        <v>30</v>
      </c>
      <c r="E164" t="str">
        <f t="shared" si="93"/>
        <v>SALES TO DISTRIBUTOR</v>
      </c>
      <c r="F164" s="4" t="str">
        <f t="shared" si="93"/>
        <v>DIRECT</v>
      </c>
      <c r="G164" t="str">
        <f t="shared" si="93"/>
        <v>DISTRIBUTOR</v>
      </c>
      <c r="H164" s="4" t="str">
        <f t="shared" si="93"/>
        <v>VARIA INDAH PARAMITA</v>
      </c>
      <c r="I164" t="s">
        <v>44</v>
      </c>
      <c r="J164" t="s">
        <v>50</v>
      </c>
      <c r="K164" s="1">
        <v>1273694.3999999999</v>
      </c>
      <c r="L164" s="7">
        <v>180</v>
      </c>
    </row>
    <row r="165" spans="2:12">
      <c r="B165" s="4">
        <f t="shared" si="76"/>
        <v>2026</v>
      </c>
      <c r="C165" s="8" t="str">
        <f t="shared" si="88"/>
        <v>Apr</v>
      </c>
      <c r="D165" s="8">
        <v>30</v>
      </c>
      <c r="E165" t="str">
        <f t="shared" si="93"/>
        <v>SALES TO DISTRIBUTOR</v>
      </c>
      <c r="F165" s="4" t="str">
        <f t="shared" si="93"/>
        <v>DIRECT</v>
      </c>
      <c r="G165" t="str">
        <f t="shared" si="93"/>
        <v>DISTRIBUTOR</v>
      </c>
      <c r="H165" s="4" t="str">
        <f t="shared" si="93"/>
        <v>VARIA INDAH PARAMITA</v>
      </c>
      <c r="I165" t="s">
        <v>45</v>
      </c>
      <c r="J165" t="s">
        <v>51</v>
      </c>
      <c r="K165" s="1">
        <v>6535795.2000000002</v>
      </c>
      <c r="L165" s="7">
        <v>480</v>
      </c>
    </row>
    <row r="166" spans="2:12">
      <c r="B166" s="4">
        <f t="shared" si="76"/>
        <v>2026</v>
      </c>
      <c r="C166" s="8" t="str">
        <f t="shared" si="88"/>
        <v>Apr</v>
      </c>
      <c r="D166" s="8">
        <v>30</v>
      </c>
      <c r="E166" t="str">
        <f t="shared" si="93"/>
        <v>SALES TO DISTRIBUTOR</v>
      </c>
      <c r="F166" s="4" t="str">
        <f t="shared" si="93"/>
        <v>DIRECT</v>
      </c>
      <c r="G166" t="str">
        <f t="shared" si="93"/>
        <v>DISTRIBUTOR</v>
      </c>
      <c r="H166" s="4" t="str">
        <f t="shared" si="93"/>
        <v>VARIA INDAH PARAMITA</v>
      </c>
      <c r="I166" t="s">
        <v>46</v>
      </c>
      <c r="J166" t="s">
        <v>52</v>
      </c>
      <c r="K166" s="1">
        <v>23509552</v>
      </c>
      <c r="L166" s="7">
        <v>2230</v>
      </c>
    </row>
    <row r="167" spans="2:12">
      <c r="B167" s="4">
        <f t="shared" si="76"/>
        <v>2026</v>
      </c>
      <c r="C167" s="8" t="str">
        <f t="shared" si="88"/>
        <v>Apr</v>
      </c>
      <c r="D167" s="8">
        <v>30</v>
      </c>
      <c r="E167" t="str">
        <f t="shared" si="93"/>
        <v>SALES TO DISTRIBUTOR</v>
      </c>
      <c r="F167" s="4" t="str">
        <f t="shared" si="93"/>
        <v>DIRECT</v>
      </c>
      <c r="G167" t="str">
        <f t="shared" si="93"/>
        <v>DISTRIBUTOR</v>
      </c>
      <c r="H167" s="4" t="str">
        <f t="shared" si="93"/>
        <v>VARIA INDAH PARAMITA</v>
      </c>
      <c r="I167" t="s">
        <v>47</v>
      </c>
      <c r="J167" t="s">
        <v>53</v>
      </c>
      <c r="K167" s="1">
        <v>5664947.1999999993</v>
      </c>
      <c r="L167" s="7">
        <v>320</v>
      </c>
    </row>
    <row r="168" spans="2:12">
      <c r="B168" s="4">
        <f t="shared" si="76"/>
        <v>2026</v>
      </c>
      <c r="C168" s="8" t="str">
        <f t="shared" si="88"/>
        <v>Apr</v>
      </c>
      <c r="D168" s="8">
        <v>30</v>
      </c>
      <c r="E168" t="s">
        <v>17</v>
      </c>
      <c r="F168" s="4" t="s">
        <v>0</v>
      </c>
      <c r="G168" t="s">
        <v>40</v>
      </c>
      <c r="H168" s="4" t="s">
        <v>25</v>
      </c>
      <c r="I168" t="s">
        <v>44</v>
      </c>
      <c r="J168" t="s">
        <v>50</v>
      </c>
      <c r="K168" s="1">
        <v>10189555.199999999</v>
      </c>
      <c r="L168" s="7">
        <v>1440</v>
      </c>
    </row>
    <row r="169" spans="2:12">
      <c r="B169" s="4">
        <f t="shared" si="76"/>
        <v>2026</v>
      </c>
      <c r="C169" s="8" t="str">
        <f t="shared" si="88"/>
        <v>Apr</v>
      </c>
      <c r="D169" s="8">
        <v>30</v>
      </c>
      <c r="E169" t="str">
        <f t="shared" ref="E169:E206" si="94">+E168</f>
        <v>SALES TO MARKET</v>
      </c>
      <c r="F169" s="4" t="str">
        <f t="shared" ref="F169:H171" si="95">+F168</f>
        <v>DIRECT</v>
      </c>
      <c r="G169" t="str">
        <f t="shared" si="95"/>
        <v>MTI</v>
      </c>
      <c r="H169" s="4" t="str">
        <f t="shared" si="95"/>
        <v>HARI-HARI GROUP</v>
      </c>
      <c r="I169" t="s">
        <v>45</v>
      </c>
      <c r="J169" t="s">
        <v>51</v>
      </c>
      <c r="K169" s="1">
        <v>14705539.200000001</v>
      </c>
      <c r="L169" s="7">
        <v>1080</v>
      </c>
    </row>
    <row r="170" spans="2:12">
      <c r="B170" s="4">
        <f t="shared" si="76"/>
        <v>2026</v>
      </c>
      <c r="C170" s="8" t="str">
        <f t="shared" si="88"/>
        <v>Apr</v>
      </c>
      <c r="D170" s="8">
        <v>30</v>
      </c>
      <c r="E170" t="str">
        <f t="shared" si="94"/>
        <v>SALES TO MARKET</v>
      </c>
      <c r="F170" s="4" t="str">
        <f t="shared" si="95"/>
        <v>DIRECT</v>
      </c>
      <c r="G170" t="str">
        <f t="shared" si="95"/>
        <v>MTI</v>
      </c>
      <c r="H170" s="4" t="str">
        <f t="shared" si="95"/>
        <v>HARI-HARI GROUP</v>
      </c>
      <c r="I170" t="s">
        <v>46</v>
      </c>
      <c r="J170" t="s">
        <v>52</v>
      </c>
      <c r="K170" s="1">
        <v>32259744</v>
      </c>
      <c r="L170" s="7">
        <v>3060</v>
      </c>
    </row>
    <row r="171" spans="2:12">
      <c r="B171" s="4">
        <f t="shared" si="76"/>
        <v>2026</v>
      </c>
      <c r="C171" s="8" t="str">
        <f t="shared" si="88"/>
        <v>Apr</v>
      </c>
      <c r="D171" s="8">
        <v>30</v>
      </c>
      <c r="E171" t="str">
        <f t="shared" si="94"/>
        <v>SALES TO MARKET</v>
      </c>
      <c r="F171" s="4" t="str">
        <f t="shared" si="95"/>
        <v>DIRECT</v>
      </c>
      <c r="G171" t="str">
        <f t="shared" si="95"/>
        <v>MTI</v>
      </c>
      <c r="H171" s="4" t="str">
        <f t="shared" si="95"/>
        <v>HARI-HARI GROUP</v>
      </c>
      <c r="I171" t="s">
        <v>47</v>
      </c>
      <c r="J171" t="s">
        <v>53</v>
      </c>
      <c r="K171" s="1">
        <v>21243552</v>
      </c>
      <c r="L171" s="7">
        <v>1200</v>
      </c>
    </row>
    <row r="172" spans="2:12">
      <c r="B172" s="4">
        <f t="shared" si="76"/>
        <v>2026</v>
      </c>
      <c r="C172" s="8" t="str">
        <f t="shared" si="88"/>
        <v>Apr</v>
      </c>
      <c r="D172" s="8">
        <v>30</v>
      </c>
      <c r="E172" t="str">
        <f t="shared" si="94"/>
        <v>SALES TO MARKET</v>
      </c>
      <c r="F172" s="4" t="str">
        <f t="shared" ref="F172:G172" si="96">+F171</f>
        <v>DIRECT</v>
      </c>
      <c r="G172" t="str">
        <f t="shared" si="96"/>
        <v>MTI</v>
      </c>
      <c r="H172" s="4" t="s">
        <v>20</v>
      </c>
      <c r="I172" t="s">
        <v>44</v>
      </c>
      <c r="J172" t="s">
        <v>50</v>
      </c>
      <c r="K172" s="1">
        <v>350880</v>
      </c>
      <c r="L172" s="7">
        <v>48</v>
      </c>
    </row>
    <row r="173" spans="2:12">
      <c r="B173" s="4">
        <f t="shared" si="76"/>
        <v>2026</v>
      </c>
      <c r="C173" s="8" t="str">
        <f t="shared" si="88"/>
        <v>Apr</v>
      </c>
      <c r="D173" s="8">
        <v>30</v>
      </c>
      <c r="E173" t="str">
        <f t="shared" si="94"/>
        <v>SALES TO MARKET</v>
      </c>
      <c r="F173" s="4" t="str">
        <f t="shared" ref="F173:H174" si="97">+F172</f>
        <v>DIRECT</v>
      </c>
      <c r="G173" t="str">
        <f t="shared" si="97"/>
        <v>MTI</v>
      </c>
      <c r="H173" s="4" t="str">
        <f t="shared" si="97"/>
        <v>HYPERMART</v>
      </c>
      <c r="I173" t="s">
        <v>45</v>
      </c>
      <c r="J173" t="s">
        <v>51</v>
      </c>
      <c r="K173" s="1">
        <v>1012752</v>
      </c>
      <c r="L173" s="7">
        <v>72</v>
      </c>
    </row>
    <row r="174" spans="2:12">
      <c r="B174" s="4">
        <f t="shared" si="76"/>
        <v>2026</v>
      </c>
      <c r="C174" s="8" t="str">
        <f t="shared" si="88"/>
        <v>Apr</v>
      </c>
      <c r="D174" s="8">
        <v>30</v>
      </c>
      <c r="E174" t="str">
        <f t="shared" si="94"/>
        <v>SALES TO MARKET</v>
      </c>
      <c r="F174" s="4" t="str">
        <f t="shared" si="97"/>
        <v>DIRECT</v>
      </c>
      <c r="G174" t="str">
        <f t="shared" si="97"/>
        <v>MTI</v>
      </c>
      <c r="H174" s="4" t="str">
        <f t="shared" si="97"/>
        <v>HYPERMART</v>
      </c>
      <c r="I174" t="s">
        <v>46</v>
      </c>
      <c r="J174" t="s">
        <v>52</v>
      </c>
      <c r="K174" s="1">
        <v>261384</v>
      </c>
      <c r="L174" s="7">
        <v>24</v>
      </c>
    </row>
    <row r="175" spans="2:12">
      <c r="B175" s="4">
        <f t="shared" si="76"/>
        <v>2026</v>
      </c>
      <c r="C175" s="8" t="str">
        <f t="shared" si="88"/>
        <v>Apr</v>
      </c>
      <c r="D175" s="8">
        <v>30</v>
      </c>
      <c r="E175" t="str">
        <f t="shared" si="94"/>
        <v>SALES TO MARKET</v>
      </c>
      <c r="F175" s="4" t="str">
        <f t="shared" ref="F175:G175" si="98">+F174</f>
        <v>DIRECT</v>
      </c>
      <c r="G175" t="str">
        <f t="shared" si="98"/>
        <v>MTI</v>
      </c>
      <c r="H175" s="4" t="s">
        <v>33</v>
      </c>
      <c r="I175" t="s">
        <v>48</v>
      </c>
      <c r="J175" t="s">
        <v>54</v>
      </c>
      <c r="K175" s="1">
        <v>30745962</v>
      </c>
      <c r="L175" s="7">
        <v>1800</v>
      </c>
    </row>
    <row r="176" spans="2:12">
      <c r="B176" s="4">
        <f t="shared" si="76"/>
        <v>2026</v>
      </c>
      <c r="C176" s="8" t="str">
        <f t="shared" si="88"/>
        <v>Apr</v>
      </c>
      <c r="D176" s="8">
        <v>30</v>
      </c>
      <c r="E176" t="str">
        <f t="shared" si="94"/>
        <v>SALES TO MARKET</v>
      </c>
      <c r="F176" s="4" t="str">
        <f t="shared" ref="F176:H178" si="99">+F175</f>
        <v>DIRECT</v>
      </c>
      <c r="G176" t="str">
        <f t="shared" si="99"/>
        <v>MTI</v>
      </c>
      <c r="H176" s="4" t="str">
        <f t="shared" si="99"/>
        <v>KEDAI MART</v>
      </c>
      <c r="I176" t="s">
        <v>49</v>
      </c>
      <c r="J176" t="s">
        <v>55</v>
      </c>
      <c r="K176" s="1">
        <v>35027010</v>
      </c>
      <c r="L176" s="7">
        <v>1800</v>
      </c>
    </row>
    <row r="177" spans="2:12">
      <c r="B177" s="4">
        <f t="shared" si="76"/>
        <v>2026</v>
      </c>
      <c r="C177" s="8" t="str">
        <f t="shared" si="88"/>
        <v>Apr</v>
      </c>
      <c r="D177" s="8">
        <v>30</v>
      </c>
      <c r="E177" t="str">
        <f t="shared" si="94"/>
        <v>SALES TO MARKET</v>
      </c>
      <c r="F177" s="4" t="str">
        <f t="shared" si="99"/>
        <v>DIRECT</v>
      </c>
      <c r="G177" t="str">
        <f t="shared" si="99"/>
        <v>MTI</v>
      </c>
      <c r="H177" s="4" t="str">
        <f t="shared" si="99"/>
        <v>KEDAI MART</v>
      </c>
      <c r="I177" t="s">
        <v>46</v>
      </c>
      <c r="J177" t="s">
        <v>52</v>
      </c>
      <c r="K177" s="1">
        <v>1243323.6000000001</v>
      </c>
      <c r="L177" s="7">
        <v>120</v>
      </c>
    </row>
    <row r="178" spans="2:12">
      <c r="B178" s="4">
        <f t="shared" si="76"/>
        <v>2026</v>
      </c>
      <c r="C178" s="8" t="str">
        <f t="shared" si="88"/>
        <v>Apr</v>
      </c>
      <c r="D178" s="8">
        <v>30</v>
      </c>
      <c r="E178" t="str">
        <f t="shared" si="94"/>
        <v>SALES TO MARKET</v>
      </c>
      <c r="F178" s="4" t="str">
        <f t="shared" si="99"/>
        <v>DIRECT</v>
      </c>
      <c r="G178" t="str">
        <f t="shared" si="99"/>
        <v>MTI</v>
      </c>
      <c r="H178" s="4" t="str">
        <f t="shared" si="99"/>
        <v>KEDAI MART</v>
      </c>
      <c r="I178" t="s">
        <v>47</v>
      </c>
      <c r="J178" t="s">
        <v>53</v>
      </c>
      <c r="K178" s="1">
        <v>2087857.9200000004</v>
      </c>
      <c r="L178" s="7">
        <v>120</v>
      </c>
    </row>
    <row r="179" spans="2:12">
      <c r="B179" s="4">
        <f t="shared" si="76"/>
        <v>2026</v>
      </c>
      <c r="C179" s="8" t="str">
        <f t="shared" si="88"/>
        <v>Apr</v>
      </c>
      <c r="D179" s="8">
        <v>30</v>
      </c>
      <c r="E179" t="str">
        <f t="shared" si="94"/>
        <v>SALES TO MARKET</v>
      </c>
      <c r="F179" s="4" t="s">
        <v>11</v>
      </c>
      <c r="G179" t="s">
        <v>41</v>
      </c>
      <c r="H179" s="4" t="s">
        <v>26</v>
      </c>
      <c r="I179" t="s">
        <v>46</v>
      </c>
      <c r="J179" t="s">
        <v>52</v>
      </c>
      <c r="K179" s="3">
        <v>3795264</v>
      </c>
      <c r="L179" s="6">
        <v>360</v>
      </c>
    </row>
    <row r="180" spans="2:12">
      <c r="B180" s="4">
        <f t="shared" si="76"/>
        <v>2026</v>
      </c>
      <c r="C180" s="8" t="str">
        <f t="shared" si="88"/>
        <v>Apr</v>
      </c>
      <c r="D180" s="8">
        <v>30</v>
      </c>
      <c r="E180" t="str">
        <f t="shared" si="94"/>
        <v>SALES TO MARKET</v>
      </c>
      <c r="F180" s="4" t="str">
        <f t="shared" ref="F180:F184" si="100">+F179</f>
        <v>KP</v>
      </c>
      <c r="G180" t="str">
        <f t="shared" ref="G180:G182" si="101">+G179</f>
        <v>NKA</v>
      </c>
      <c r="H180" s="4" t="str">
        <f>+H179</f>
        <v>INDOGROSIR</v>
      </c>
      <c r="I180" t="s">
        <v>47</v>
      </c>
      <c r="J180" t="s">
        <v>53</v>
      </c>
      <c r="K180" s="3">
        <v>637306.55999999994</v>
      </c>
      <c r="L180" s="6">
        <v>36</v>
      </c>
    </row>
    <row r="181" spans="2:12">
      <c r="B181" s="4">
        <f t="shared" si="76"/>
        <v>2026</v>
      </c>
      <c r="C181" s="8" t="str">
        <f t="shared" si="88"/>
        <v>Apr</v>
      </c>
      <c r="D181" s="8">
        <v>30</v>
      </c>
      <c r="E181" t="str">
        <f t="shared" si="94"/>
        <v>SALES TO MARKET</v>
      </c>
      <c r="F181" s="4" t="str">
        <f t="shared" si="100"/>
        <v>KP</v>
      </c>
      <c r="G181" t="str">
        <f t="shared" si="101"/>
        <v>NKA</v>
      </c>
      <c r="H181" s="4" t="s">
        <v>27</v>
      </c>
      <c r="I181" t="s">
        <v>46</v>
      </c>
      <c r="J181" t="s">
        <v>52</v>
      </c>
      <c r="K181" s="3">
        <v>19482355.199999999</v>
      </c>
      <c r="L181" s="6">
        <v>1848</v>
      </c>
    </row>
    <row r="182" spans="2:12">
      <c r="B182" s="4">
        <f t="shared" si="76"/>
        <v>2026</v>
      </c>
      <c r="C182" s="8" t="str">
        <f t="shared" si="88"/>
        <v>Apr</v>
      </c>
      <c r="D182" s="8">
        <v>30</v>
      </c>
      <c r="E182" t="str">
        <f t="shared" si="94"/>
        <v>SALES TO MARKET</v>
      </c>
      <c r="F182" s="4" t="str">
        <f t="shared" si="100"/>
        <v>KP</v>
      </c>
      <c r="G182" t="str">
        <f t="shared" si="101"/>
        <v>NKA</v>
      </c>
      <c r="H182" s="4" t="s">
        <v>28</v>
      </c>
      <c r="I182" t="s">
        <v>46</v>
      </c>
      <c r="J182" t="s">
        <v>52</v>
      </c>
      <c r="K182" s="3">
        <v>45037132.799999997</v>
      </c>
      <c r="L182" s="6">
        <v>4272</v>
      </c>
    </row>
    <row r="183" spans="2:12">
      <c r="B183" s="4">
        <f t="shared" si="76"/>
        <v>2026</v>
      </c>
      <c r="C183" s="8" t="str">
        <f t="shared" si="88"/>
        <v>Apr</v>
      </c>
      <c r="D183" s="8">
        <v>30</v>
      </c>
      <c r="E183" t="str">
        <f t="shared" si="94"/>
        <v>SALES TO MARKET</v>
      </c>
      <c r="F183" s="4" t="str">
        <f t="shared" si="100"/>
        <v>KP</v>
      </c>
      <c r="G183" t="str">
        <f t="shared" ref="G183:H183" si="102">+G182</f>
        <v>NKA</v>
      </c>
      <c r="H183" s="4" t="str">
        <f t="shared" si="102"/>
        <v>LION SUPERINDO</v>
      </c>
      <c r="I183" t="s">
        <v>47</v>
      </c>
      <c r="J183" t="s">
        <v>53</v>
      </c>
      <c r="K183" s="3">
        <v>45673636.79999999</v>
      </c>
      <c r="L183" s="6">
        <v>2580</v>
      </c>
    </row>
    <row r="184" spans="2:12">
      <c r="B184" s="4">
        <f t="shared" si="76"/>
        <v>2026</v>
      </c>
      <c r="C184" s="8" t="str">
        <f t="shared" si="88"/>
        <v>Apr</v>
      </c>
      <c r="D184" s="8">
        <v>30</v>
      </c>
      <c r="E184" t="str">
        <f t="shared" si="94"/>
        <v>SALES TO MARKET</v>
      </c>
      <c r="F184" s="4" t="str">
        <f t="shared" si="100"/>
        <v>KP</v>
      </c>
      <c r="G184" t="s">
        <v>42</v>
      </c>
      <c r="H184" s="4" t="s">
        <v>21</v>
      </c>
      <c r="I184" t="s">
        <v>44</v>
      </c>
      <c r="J184" t="s">
        <v>50</v>
      </c>
      <c r="K184" s="3">
        <v>42456.479999999996</v>
      </c>
      <c r="L184" s="6">
        <v>6</v>
      </c>
    </row>
    <row r="185" spans="2:12">
      <c r="B185" s="4">
        <f t="shared" si="76"/>
        <v>2026</v>
      </c>
      <c r="C185" s="8" t="str">
        <f t="shared" ref="C185:C213" si="103">+C184</f>
        <v>Apr</v>
      </c>
      <c r="D185" s="8">
        <v>30</v>
      </c>
      <c r="E185" t="str">
        <f t="shared" si="94"/>
        <v>SALES TO MARKET</v>
      </c>
      <c r="F185" s="4" t="str">
        <f t="shared" ref="F185:H186" si="104">+F184</f>
        <v>KP</v>
      </c>
      <c r="G185" t="str">
        <f t="shared" si="104"/>
        <v>NON NKA</v>
      </c>
      <c r="H185" s="4" t="str">
        <f t="shared" si="104"/>
        <v>ADA SWALAYAN GROUP</v>
      </c>
      <c r="I185" t="s">
        <v>45</v>
      </c>
      <c r="J185" t="s">
        <v>51</v>
      </c>
      <c r="K185" s="3">
        <v>163394.88</v>
      </c>
      <c r="L185" s="6">
        <v>12</v>
      </c>
    </row>
    <row r="186" spans="2:12">
      <c r="B186" s="4">
        <f t="shared" si="76"/>
        <v>2026</v>
      </c>
      <c r="C186" s="8" t="str">
        <f t="shared" si="103"/>
        <v>Apr</v>
      </c>
      <c r="D186" s="8">
        <v>30</v>
      </c>
      <c r="E186" t="str">
        <f t="shared" si="94"/>
        <v>SALES TO MARKET</v>
      </c>
      <c r="F186" s="4" t="str">
        <f t="shared" si="104"/>
        <v>KP</v>
      </c>
      <c r="G186" t="str">
        <f t="shared" si="104"/>
        <v>NON NKA</v>
      </c>
      <c r="H186" s="4" t="str">
        <f t="shared" si="104"/>
        <v>ADA SWALAYAN GROUP</v>
      </c>
      <c r="I186" t="s">
        <v>47</v>
      </c>
      <c r="J186" t="s">
        <v>53</v>
      </c>
      <c r="K186" s="3">
        <v>212435.52</v>
      </c>
      <c r="L186" s="6">
        <v>12</v>
      </c>
    </row>
    <row r="187" spans="2:12">
      <c r="B187" s="4">
        <f t="shared" si="76"/>
        <v>2026</v>
      </c>
      <c r="C187" s="8" t="str">
        <f t="shared" si="103"/>
        <v>Apr</v>
      </c>
      <c r="D187" s="8">
        <v>30</v>
      </c>
      <c r="E187" t="str">
        <f t="shared" si="94"/>
        <v>SALES TO MARKET</v>
      </c>
      <c r="F187" s="4" t="str">
        <f t="shared" ref="F187:G187" si="105">+F186</f>
        <v>KP</v>
      </c>
      <c r="G187" t="str">
        <f t="shared" si="105"/>
        <v>NON NKA</v>
      </c>
      <c r="H187" s="4" t="s">
        <v>29</v>
      </c>
      <c r="I187" t="s">
        <v>44</v>
      </c>
      <c r="J187" t="s">
        <v>50</v>
      </c>
      <c r="K187" s="3">
        <v>551934.23999999987</v>
      </c>
      <c r="L187" s="6">
        <v>78</v>
      </c>
    </row>
    <row r="188" spans="2:12">
      <c r="B188" s="4">
        <f t="shared" si="76"/>
        <v>2026</v>
      </c>
      <c r="C188" s="8" t="str">
        <f t="shared" si="103"/>
        <v>Apr</v>
      </c>
      <c r="D188" s="8">
        <v>30</v>
      </c>
      <c r="E188" t="str">
        <f t="shared" si="94"/>
        <v>SALES TO MARKET</v>
      </c>
      <c r="F188" s="4" t="str">
        <f t="shared" ref="F188:H190" si="106">+F187</f>
        <v>KP</v>
      </c>
      <c r="G188" t="str">
        <f t="shared" si="106"/>
        <v>NON NKA</v>
      </c>
      <c r="H188" s="4" t="str">
        <f t="shared" si="106"/>
        <v>NAGA SWALAYAN GROUP</v>
      </c>
      <c r="I188" t="s">
        <v>45</v>
      </c>
      <c r="J188" t="s">
        <v>51</v>
      </c>
      <c r="K188" s="3">
        <v>1470553.9199999997</v>
      </c>
      <c r="L188" s="6">
        <v>108</v>
      </c>
    </row>
    <row r="189" spans="2:12">
      <c r="B189" s="4">
        <f t="shared" si="76"/>
        <v>2026</v>
      </c>
      <c r="C189" s="8" t="str">
        <f t="shared" si="103"/>
        <v>Apr</v>
      </c>
      <c r="D189" s="8">
        <v>30</v>
      </c>
      <c r="E189" t="str">
        <f t="shared" si="94"/>
        <v>SALES TO MARKET</v>
      </c>
      <c r="F189" s="4" t="str">
        <f t="shared" si="106"/>
        <v>KP</v>
      </c>
      <c r="G189" t="str">
        <f t="shared" si="106"/>
        <v>NON NKA</v>
      </c>
      <c r="H189" s="4" t="str">
        <f t="shared" si="106"/>
        <v>NAGA SWALAYAN GROUP</v>
      </c>
      <c r="I189" t="s">
        <v>46</v>
      </c>
      <c r="J189" t="s">
        <v>52</v>
      </c>
      <c r="K189" s="3">
        <v>885561.60000000021</v>
      </c>
      <c r="L189" s="6">
        <v>84</v>
      </c>
    </row>
    <row r="190" spans="2:12">
      <c r="B190" s="4">
        <f t="shared" si="76"/>
        <v>2026</v>
      </c>
      <c r="C190" s="8" t="str">
        <f t="shared" si="103"/>
        <v>Apr</v>
      </c>
      <c r="D190" s="8">
        <v>30</v>
      </c>
      <c r="E190" t="str">
        <f t="shared" si="94"/>
        <v>SALES TO MARKET</v>
      </c>
      <c r="F190" s="4" t="str">
        <f t="shared" si="106"/>
        <v>KP</v>
      </c>
      <c r="G190" t="str">
        <f t="shared" si="106"/>
        <v>NON NKA</v>
      </c>
      <c r="H190" s="4" t="str">
        <f t="shared" si="106"/>
        <v>NAGA SWALAYAN GROUP</v>
      </c>
      <c r="I190" t="s">
        <v>47</v>
      </c>
      <c r="J190" t="s">
        <v>53</v>
      </c>
      <c r="K190" s="3">
        <v>1487048.64</v>
      </c>
      <c r="L190" s="6">
        <v>84</v>
      </c>
    </row>
    <row r="191" spans="2:12">
      <c r="B191" s="4">
        <f t="shared" si="76"/>
        <v>2026</v>
      </c>
      <c r="C191" s="8" t="str">
        <f t="shared" si="103"/>
        <v>Apr</v>
      </c>
      <c r="D191" s="8">
        <v>30</v>
      </c>
      <c r="E191" t="str">
        <f t="shared" si="94"/>
        <v>SALES TO MARKET</v>
      </c>
      <c r="F191" s="4" t="str">
        <f t="shared" ref="F191:G191" si="107">+F190</f>
        <v>KP</v>
      </c>
      <c r="G191" t="str">
        <f t="shared" si="107"/>
        <v>NON NKA</v>
      </c>
      <c r="H191" s="4" t="s">
        <v>30</v>
      </c>
      <c r="I191" t="s">
        <v>44</v>
      </c>
      <c r="J191" t="s">
        <v>50</v>
      </c>
      <c r="K191" s="3">
        <v>254738.87999999998</v>
      </c>
      <c r="L191" s="6">
        <v>36</v>
      </c>
    </row>
    <row r="192" spans="2:12">
      <c r="B192" s="4">
        <f t="shared" si="76"/>
        <v>2026</v>
      </c>
      <c r="C192" s="8" t="str">
        <f t="shared" si="103"/>
        <v>Apr</v>
      </c>
      <c r="D192" s="8">
        <v>30</v>
      </c>
      <c r="E192" t="str">
        <f t="shared" si="94"/>
        <v>SALES TO MARKET</v>
      </c>
      <c r="F192" s="4" t="str">
        <f t="shared" ref="F192:H194" si="108">+F191</f>
        <v>KP</v>
      </c>
      <c r="G192" t="str">
        <f t="shared" si="108"/>
        <v>NON NKA</v>
      </c>
      <c r="H192" s="4" t="str">
        <f t="shared" si="108"/>
        <v>OTHERS</v>
      </c>
      <c r="I192" t="s">
        <v>45</v>
      </c>
      <c r="J192" t="s">
        <v>51</v>
      </c>
      <c r="K192" s="3">
        <v>2192214.6399999997</v>
      </c>
      <c r="L192" s="6">
        <v>161</v>
      </c>
    </row>
    <row r="193" spans="2:12">
      <c r="B193" s="4">
        <f t="shared" si="76"/>
        <v>2026</v>
      </c>
      <c r="C193" s="8" t="str">
        <f t="shared" si="103"/>
        <v>Apr</v>
      </c>
      <c r="D193" s="8">
        <v>30</v>
      </c>
      <c r="E193" t="str">
        <f t="shared" si="94"/>
        <v>SALES TO MARKET</v>
      </c>
      <c r="F193" s="4" t="str">
        <f t="shared" si="108"/>
        <v>KP</v>
      </c>
      <c r="G193" t="str">
        <f t="shared" si="108"/>
        <v>NON NKA</v>
      </c>
      <c r="H193" s="4" t="str">
        <f t="shared" si="108"/>
        <v>OTHERS</v>
      </c>
      <c r="I193" t="s">
        <v>46</v>
      </c>
      <c r="J193" t="s">
        <v>52</v>
      </c>
      <c r="K193" s="3">
        <v>1159664.0000000002</v>
      </c>
      <c r="L193" s="6">
        <v>110</v>
      </c>
    </row>
    <row r="194" spans="2:12">
      <c r="B194" s="4">
        <f t="shared" si="76"/>
        <v>2026</v>
      </c>
      <c r="C194" s="8" t="str">
        <f t="shared" si="103"/>
        <v>Apr</v>
      </c>
      <c r="D194" s="8">
        <v>30</v>
      </c>
      <c r="E194" t="str">
        <f t="shared" si="94"/>
        <v>SALES TO MARKET</v>
      </c>
      <c r="F194" s="4" t="str">
        <f t="shared" si="108"/>
        <v>KP</v>
      </c>
      <c r="G194" t="str">
        <f t="shared" si="108"/>
        <v>NON NKA</v>
      </c>
      <c r="H194" s="4" t="str">
        <f t="shared" si="108"/>
        <v>OTHERS</v>
      </c>
      <c r="I194" t="s">
        <v>47</v>
      </c>
      <c r="J194" t="s">
        <v>53</v>
      </c>
      <c r="K194" s="3">
        <v>2159761.12</v>
      </c>
      <c r="L194" s="6">
        <v>122</v>
      </c>
    </row>
    <row r="195" spans="2:12">
      <c r="B195" s="4">
        <f t="shared" si="76"/>
        <v>2026</v>
      </c>
      <c r="C195" s="8" t="str">
        <f t="shared" si="103"/>
        <v>Apr</v>
      </c>
      <c r="D195" s="8">
        <v>30</v>
      </c>
      <c r="E195" t="str">
        <f t="shared" si="94"/>
        <v>SALES TO MARKET</v>
      </c>
      <c r="F195" s="4" t="str">
        <f t="shared" ref="F195:G195" si="109">+F194</f>
        <v>KP</v>
      </c>
      <c r="G195" t="str">
        <f t="shared" si="109"/>
        <v>NON NKA</v>
      </c>
      <c r="H195" s="4" t="s">
        <v>31</v>
      </c>
      <c r="I195" t="s">
        <v>44</v>
      </c>
      <c r="J195" t="s">
        <v>50</v>
      </c>
      <c r="K195" s="3">
        <v>509477.75999999995</v>
      </c>
      <c r="L195" s="6">
        <v>72</v>
      </c>
    </row>
    <row r="196" spans="2:12">
      <c r="B196" s="4">
        <f t="shared" ref="B196:B259" si="110">+B195</f>
        <v>2026</v>
      </c>
      <c r="C196" s="8" t="str">
        <f t="shared" si="103"/>
        <v>Apr</v>
      </c>
      <c r="D196" s="8">
        <v>30</v>
      </c>
      <c r="E196" t="str">
        <f t="shared" si="94"/>
        <v>SALES TO MARKET</v>
      </c>
      <c r="F196" s="4" t="str">
        <f t="shared" ref="F196:H198" si="111">+F195</f>
        <v>KP</v>
      </c>
      <c r="G196" t="str">
        <f t="shared" si="111"/>
        <v>NON NKA</v>
      </c>
      <c r="H196" s="4" t="str">
        <f t="shared" si="111"/>
        <v>TIP-TOP SWALAYAN GROUP</v>
      </c>
      <c r="I196" t="s">
        <v>45</v>
      </c>
      <c r="J196" t="s">
        <v>51</v>
      </c>
      <c r="K196" s="3">
        <v>1307159.04</v>
      </c>
      <c r="L196" s="6">
        <v>96</v>
      </c>
    </row>
    <row r="197" spans="2:12">
      <c r="B197" s="4">
        <f t="shared" si="110"/>
        <v>2026</v>
      </c>
      <c r="C197" s="8" t="str">
        <f t="shared" si="103"/>
        <v>Apr</v>
      </c>
      <c r="D197" s="8">
        <v>30</v>
      </c>
      <c r="E197" t="str">
        <f t="shared" si="94"/>
        <v>SALES TO MARKET</v>
      </c>
      <c r="F197" s="4" t="str">
        <f t="shared" si="111"/>
        <v>KP</v>
      </c>
      <c r="G197" t="str">
        <f t="shared" si="111"/>
        <v>NON NKA</v>
      </c>
      <c r="H197" s="4" t="str">
        <f t="shared" si="111"/>
        <v>TIP-TOP SWALAYAN GROUP</v>
      </c>
      <c r="I197" t="s">
        <v>46</v>
      </c>
      <c r="J197" t="s">
        <v>52</v>
      </c>
      <c r="K197" s="3">
        <v>885561.60000000009</v>
      </c>
      <c r="L197" s="6">
        <v>84</v>
      </c>
    </row>
    <row r="198" spans="2:12">
      <c r="B198" s="4">
        <f t="shared" si="110"/>
        <v>2026</v>
      </c>
      <c r="C198" s="8" t="str">
        <f t="shared" si="103"/>
        <v>Apr</v>
      </c>
      <c r="D198" s="8">
        <v>30</v>
      </c>
      <c r="E198" t="str">
        <f t="shared" si="94"/>
        <v>SALES TO MARKET</v>
      </c>
      <c r="F198" s="4" t="str">
        <f t="shared" si="111"/>
        <v>KP</v>
      </c>
      <c r="G198" t="str">
        <f t="shared" si="111"/>
        <v>NON NKA</v>
      </c>
      <c r="H198" s="4" t="str">
        <f t="shared" si="111"/>
        <v>TIP-TOP SWALAYAN GROUP</v>
      </c>
      <c r="I198" t="s">
        <v>47</v>
      </c>
      <c r="J198" t="s">
        <v>53</v>
      </c>
      <c r="K198" s="3">
        <v>2124355.1999999997</v>
      </c>
      <c r="L198" s="6">
        <v>120</v>
      </c>
    </row>
    <row r="199" spans="2:12">
      <c r="B199" s="4">
        <f t="shared" si="110"/>
        <v>2026</v>
      </c>
      <c r="C199" s="8" t="str">
        <f t="shared" si="103"/>
        <v>Apr</v>
      </c>
      <c r="D199" s="8">
        <v>30</v>
      </c>
      <c r="E199" t="str">
        <f t="shared" si="94"/>
        <v>SALES TO MARKET</v>
      </c>
      <c r="F199" s="4" t="s">
        <v>12</v>
      </c>
      <c r="G199" t="s">
        <v>41</v>
      </c>
      <c r="H199" s="4" t="s">
        <v>26</v>
      </c>
      <c r="I199" t="s">
        <v>47</v>
      </c>
      <c r="J199" t="s">
        <v>53</v>
      </c>
      <c r="K199" s="3">
        <v>1274613.1199999999</v>
      </c>
      <c r="L199" s="6">
        <v>72</v>
      </c>
    </row>
    <row r="200" spans="2:12">
      <c r="B200" s="4">
        <f t="shared" si="110"/>
        <v>2026</v>
      </c>
      <c r="C200" s="8" t="str">
        <f t="shared" si="103"/>
        <v>Apr</v>
      </c>
      <c r="D200" s="8">
        <v>30</v>
      </c>
      <c r="E200" t="str">
        <f t="shared" si="94"/>
        <v>SALES TO MARKET</v>
      </c>
      <c r="F200" s="4" t="str">
        <f>+F199</f>
        <v>PM</v>
      </c>
      <c r="G200" t="s">
        <v>42</v>
      </c>
      <c r="H200" s="4" t="s">
        <v>30</v>
      </c>
      <c r="I200" t="s">
        <v>48</v>
      </c>
      <c r="J200" t="s">
        <v>54</v>
      </c>
      <c r="K200" s="3">
        <v>19800</v>
      </c>
      <c r="L200" s="6">
        <v>1</v>
      </c>
    </row>
    <row r="201" spans="2:12">
      <c r="B201" s="4">
        <f t="shared" si="110"/>
        <v>2026</v>
      </c>
      <c r="C201" s="8" t="str">
        <f t="shared" si="103"/>
        <v>Apr</v>
      </c>
      <c r="D201" s="8">
        <v>30</v>
      </c>
      <c r="E201" t="str">
        <f t="shared" si="94"/>
        <v>SALES TO MARKET</v>
      </c>
      <c r="F201" s="4" t="str">
        <f t="shared" ref="F201:H205" si="112">+F200</f>
        <v>PM</v>
      </c>
      <c r="G201" t="str">
        <f t="shared" si="112"/>
        <v>NON NKA</v>
      </c>
      <c r="H201" s="4" t="str">
        <f t="shared" si="112"/>
        <v>OTHERS</v>
      </c>
      <c r="I201" t="s">
        <v>49</v>
      </c>
      <c r="J201" t="s">
        <v>55</v>
      </c>
      <c r="K201" s="3">
        <v>17380</v>
      </c>
      <c r="L201" s="6">
        <v>1</v>
      </c>
    </row>
    <row r="202" spans="2:12">
      <c r="B202" s="4">
        <f t="shared" si="110"/>
        <v>2026</v>
      </c>
      <c r="C202" s="8" t="str">
        <f t="shared" si="103"/>
        <v>Apr</v>
      </c>
      <c r="D202" s="8">
        <v>30</v>
      </c>
      <c r="E202" t="str">
        <f t="shared" si="94"/>
        <v>SALES TO MARKET</v>
      </c>
      <c r="F202" s="4" t="str">
        <f t="shared" si="112"/>
        <v>PM</v>
      </c>
      <c r="G202" t="str">
        <f t="shared" si="112"/>
        <v>NON NKA</v>
      </c>
      <c r="H202" s="4" t="str">
        <f t="shared" si="112"/>
        <v>OTHERS</v>
      </c>
      <c r="I202" t="s">
        <v>44</v>
      </c>
      <c r="J202" t="s">
        <v>50</v>
      </c>
      <c r="K202" s="3">
        <v>141521.60000000001</v>
      </c>
      <c r="L202" s="6">
        <v>20</v>
      </c>
    </row>
    <row r="203" spans="2:12">
      <c r="B203" s="4">
        <f t="shared" si="110"/>
        <v>2026</v>
      </c>
      <c r="C203" s="8" t="str">
        <f t="shared" si="103"/>
        <v>Apr</v>
      </c>
      <c r="D203" s="8">
        <v>30</v>
      </c>
      <c r="E203" t="str">
        <f t="shared" si="94"/>
        <v>SALES TO MARKET</v>
      </c>
      <c r="F203" s="4" t="str">
        <f t="shared" si="112"/>
        <v>PM</v>
      </c>
      <c r="G203" t="str">
        <f t="shared" si="112"/>
        <v>NON NKA</v>
      </c>
      <c r="H203" s="4" t="str">
        <f t="shared" si="112"/>
        <v>OTHERS</v>
      </c>
      <c r="I203" t="s">
        <v>45</v>
      </c>
      <c r="J203" t="s">
        <v>51</v>
      </c>
      <c r="K203" s="3">
        <v>245092.32</v>
      </c>
      <c r="L203" s="6">
        <v>18</v>
      </c>
    </row>
    <row r="204" spans="2:12">
      <c r="B204" s="4">
        <f t="shared" si="110"/>
        <v>2026</v>
      </c>
      <c r="C204" s="8" t="str">
        <f t="shared" si="103"/>
        <v>Apr</v>
      </c>
      <c r="D204" s="8">
        <v>30</v>
      </c>
      <c r="E204" t="str">
        <f t="shared" si="94"/>
        <v>SALES TO MARKET</v>
      </c>
      <c r="F204" s="4" t="str">
        <f t="shared" si="112"/>
        <v>PM</v>
      </c>
      <c r="G204" t="str">
        <f t="shared" si="112"/>
        <v>NON NKA</v>
      </c>
      <c r="H204" s="4" t="str">
        <f t="shared" si="112"/>
        <v>OTHERS</v>
      </c>
      <c r="I204" t="s">
        <v>46</v>
      </c>
      <c r="J204" t="s">
        <v>52</v>
      </c>
      <c r="K204" s="3">
        <v>347899.19999999995</v>
      </c>
      <c r="L204" s="6">
        <v>33</v>
      </c>
    </row>
    <row r="205" spans="2:12">
      <c r="B205" s="4">
        <f t="shared" si="110"/>
        <v>2026</v>
      </c>
      <c r="C205" s="8" t="str">
        <f t="shared" si="103"/>
        <v>Apr</v>
      </c>
      <c r="D205" s="8">
        <v>30</v>
      </c>
      <c r="E205" t="str">
        <f t="shared" si="94"/>
        <v>SALES TO MARKET</v>
      </c>
      <c r="F205" s="4" t="str">
        <f t="shared" si="112"/>
        <v>PM</v>
      </c>
      <c r="G205" t="str">
        <f t="shared" si="112"/>
        <v>NON NKA</v>
      </c>
      <c r="H205" s="4" t="str">
        <f t="shared" si="112"/>
        <v>OTHERS</v>
      </c>
      <c r="I205" t="s">
        <v>47</v>
      </c>
      <c r="J205" t="s">
        <v>53</v>
      </c>
      <c r="K205" s="3">
        <v>531088.80000000005</v>
      </c>
      <c r="L205" s="6">
        <v>30</v>
      </c>
    </row>
    <row r="206" spans="2:12">
      <c r="B206" s="4">
        <f t="shared" si="110"/>
        <v>2026</v>
      </c>
      <c r="C206" s="8" t="str">
        <f t="shared" si="103"/>
        <v>Apr</v>
      </c>
      <c r="D206" s="8">
        <v>30</v>
      </c>
      <c r="E206" t="str">
        <f t="shared" si="94"/>
        <v>SALES TO MARKET</v>
      </c>
      <c r="F206" s="4" t="s">
        <v>13</v>
      </c>
      <c r="G206" t="s">
        <v>41</v>
      </c>
      <c r="H206" s="4" t="s">
        <v>26</v>
      </c>
      <c r="I206" t="s">
        <v>46</v>
      </c>
      <c r="J206" t="s">
        <v>52</v>
      </c>
      <c r="K206" s="3">
        <v>379526.39999999997</v>
      </c>
      <c r="L206" s="6">
        <v>36</v>
      </c>
    </row>
    <row r="207" spans="2:12">
      <c r="B207" s="4">
        <f t="shared" si="110"/>
        <v>2026</v>
      </c>
      <c r="C207" s="8" t="str">
        <f t="shared" si="103"/>
        <v>Apr</v>
      </c>
      <c r="D207" s="8">
        <v>30</v>
      </c>
      <c r="E207" t="str">
        <f t="shared" ref="E207:H207" si="113">+E206</f>
        <v>SALES TO MARKET</v>
      </c>
      <c r="F207" s="4" t="str">
        <f t="shared" si="113"/>
        <v>VIP</v>
      </c>
      <c r="G207" t="str">
        <f t="shared" si="113"/>
        <v>NKA</v>
      </c>
      <c r="H207" s="4" t="str">
        <f t="shared" si="113"/>
        <v>INDOGROSIR</v>
      </c>
      <c r="I207" t="s">
        <v>47</v>
      </c>
      <c r="J207" t="s">
        <v>53</v>
      </c>
      <c r="K207" s="3">
        <v>424871.04</v>
      </c>
      <c r="L207" s="6">
        <v>24</v>
      </c>
    </row>
    <row r="208" spans="2:12">
      <c r="B208" s="4">
        <f t="shared" si="110"/>
        <v>2026</v>
      </c>
      <c r="C208" s="8" t="str">
        <f t="shared" si="103"/>
        <v>Apr</v>
      </c>
      <c r="D208" s="8">
        <v>30</v>
      </c>
      <c r="E208" t="str">
        <f t="shared" ref="E208:F208" si="114">+E207</f>
        <v>SALES TO MARKET</v>
      </c>
      <c r="F208" s="4" t="str">
        <f t="shared" si="114"/>
        <v>VIP</v>
      </c>
      <c r="G208" t="s">
        <v>42</v>
      </c>
      <c r="H208" s="4" t="s">
        <v>30</v>
      </c>
      <c r="I208" t="s">
        <v>48</v>
      </c>
      <c r="J208" t="s">
        <v>54</v>
      </c>
      <c r="K208" s="3">
        <v>415800</v>
      </c>
      <c r="L208" s="6">
        <v>21</v>
      </c>
    </row>
    <row r="209" spans="2:12">
      <c r="B209" s="4">
        <f t="shared" si="110"/>
        <v>2026</v>
      </c>
      <c r="C209" s="8" t="str">
        <f t="shared" si="103"/>
        <v>Apr</v>
      </c>
      <c r="D209" s="8">
        <v>30</v>
      </c>
      <c r="E209" t="str">
        <f t="shared" ref="E209:H213" si="115">+E208</f>
        <v>SALES TO MARKET</v>
      </c>
      <c r="F209" s="4" t="str">
        <f t="shared" si="115"/>
        <v>VIP</v>
      </c>
      <c r="G209" t="str">
        <f t="shared" si="115"/>
        <v>NON NKA</v>
      </c>
      <c r="H209" s="4" t="str">
        <f t="shared" si="115"/>
        <v>OTHERS</v>
      </c>
      <c r="I209" t="s">
        <v>49</v>
      </c>
      <c r="J209" t="s">
        <v>55</v>
      </c>
      <c r="K209" s="3">
        <v>191180</v>
      </c>
      <c r="L209" s="6">
        <v>11</v>
      </c>
    </row>
    <row r="210" spans="2:12">
      <c r="B210" s="4">
        <f t="shared" si="110"/>
        <v>2026</v>
      </c>
      <c r="C210" s="8" t="str">
        <f t="shared" si="103"/>
        <v>Apr</v>
      </c>
      <c r="D210" s="8">
        <v>30</v>
      </c>
      <c r="E210" t="str">
        <f t="shared" si="115"/>
        <v>SALES TO MARKET</v>
      </c>
      <c r="F210" s="4" t="str">
        <f t="shared" si="115"/>
        <v>VIP</v>
      </c>
      <c r="G210" t="str">
        <f t="shared" si="115"/>
        <v>NON NKA</v>
      </c>
      <c r="H210" s="4" t="str">
        <f t="shared" si="115"/>
        <v>OTHERS</v>
      </c>
      <c r="I210" t="s">
        <v>44</v>
      </c>
      <c r="J210" t="s">
        <v>50</v>
      </c>
      <c r="K210" s="3">
        <v>113217.27999999998</v>
      </c>
      <c r="L210" s="6">
        <v>16</v>
      </c>
    </row>
    <row r="211" spans="2:12">
      <c r="B211" s="4">
        <f t="shared" si="110"/>
        <v>2026</v>
      </c>
      <c r="C211" s="8" t="str">
        <f t="shared" si="103"/>
        <v>Apr</v>
      </c>
      <c r="D211" s="8">
        <v>30</v>
      </c>
      <c r="E211" t="str">
        <f t="shared" si="115"/>
        <v>SALES TO MARKET</v>
      </c>
      <c r="F211" s="4" t="str">
        <f t="shared" si="115"/>
        <v>VIP</v>
      </c>
      <c r="G211" t="str">
        <f t="shared" si="115"/>
        <v>NON NKA</v>
      </c>
      <c r="H211" s="4" t="str">
        <f t="shared" si="115"/>
        <v>OTHERS</v>
      </c>
      <c r="I211" t="s">
        <v>45</v>
      </c>
      <c r="J211" t="s">
        <v>51</v>
      </c>
      <c r="K211" s="3">
        <v>571882.07999999996</v>
      </c>
      <c r="L211" s="6">
        <v>42</v>
      </c>
    </row>
    <row r="212" spans="2:12">
      <c r="B212" s="4">
        <f t="shared" si="110"/>
        <v>2026</v>
      </c>
      <c r="C212" s="8" t="str">
        <f t="shared" si="103"/>
        <v>Apr</v>
      </c>
      <c r="D212" s="8">
        <v>30</v>
      </c>
      <c r="E212" t="str">
        <f t="shared" si="115"/>
        <v>SALES TO MARKET</v>
      </c>
      <c r="F212" s="4" t="str">
        <f t="shared" si="115"/>
        <v>VIP</v>
      </c>
      <c r="G212" t="str">
        <f t="shared" si="115"/>
        <v>NON NKA</v>
      </c>
      <c r="H212" s="4" t="str">
        <f t="shared" si="115"/>
        <v>OTHERS</v>
      </c>
      <c r="I212" t="s">
        <v>46</v>
      </c>
      <c r="J212" t="s">
        <v>52</v>
      </c>
      <c r="K212" s="3">
        <v>368984</v>
      </c>
      <c r="L212" s="6">
        <v>35</v>
      </c>
    </row>
    <row r="213" spans="2:12">
      <c r="B213" s="4">
        <f t="shared" si="110"/>
        <v>2026</v>
      </c>
      <c r="C213" s="8" t="str">
        <f t="shared" si="103"/>
        <v>Apr</v>
      </c>
      <c r="D213" s="8">
        <v>30</v>
      </c>
      <c r="E213" t="str">
        <f t="shared" si="115"/>
        <v>SALES TO MARKET</v>
      </c>
      <c r="F213" s="4" t="str">
        <f t="shared" si="115"/>
        <v>VIP</v>
      </c>
      <c r="G213" t="str">
        <f t="shared" si="115"/>
        <v>NON NKA</v>
      </c>
      <c r="H213" s="4" t="str">
        <f t="shared" si="115"/>
        <v>OTHERS</v>
      </c>
      <c r="I213" t="s">
        <v>47</v>
      </c>
      <c r="J213" t="s">
        <v>53</v>
      </c>
      <c r="K213" s="3">
        <v>814336.16</v>
      </c>
      <c r="L213" s="6">
        <v>46</v>
      </c>
    </row>
    <row r="214" spans="2:12">
      <c r="B214" s="4">
        <f t="shared" si="110"/>
        <v>2026</v>
      </c>
      <c r="C214" s="8" t="s">
        <v>6</v>
      </c>
      <c r="D214" s="8">
        <v>31</v>
      </c>
      <c r="E214" t="s">
        <v>16</v>
      </c>
      <c r="F214" s="4" t="s">
        <v>0</v>
      </c>
      <c r="G214" t="s">
        <v>39</v>
      </c>
      <c r="H214" s="4" t="s">
        <v>34</v>
      </c>
      <c r="I214" t="s">
        <v>44</v>
      </c>
      <c r="J214" t="s">
        <v>50</v>
      </c>
      <c r="K214" s="1">
        <v>4825886.5599999996</v>
      </c>
      <c r="L214" s="7">
        <v>682</v>
      </c>
    </row>
    <row r="215" spans="2:12">
      <c r="B215" s="4">
        <f t="shared" si="110"/>
        <v>2026</v>
      </c>
      <c r="C215" s="8" t="str">
        <f t="shared" ref="C215:C246" si="116">+C214</f>
        <v>May</v>
      </c>
      <c r="D215" s="8">
        <v>31</v>
      </c>
      <c r="E215" t="str">
        <f t="shared" ref="E215:H217" si="117">+E214</f>
        <v>SALES TO DISTRIBUTOR</v>
      </c>
      <c r="F215" s="4" t="str">
        <f t="shared" si="117"/>
        <v>DIRECT</v>
      </c>
      <c r="G215" t="str">
        <f t="shared" si="117"/>
        <v>DISTRIBUTOR</v>
      </c>
      <c r="H215" s="4" t="str">
        <f t="shared" si="117"/>
        <v>KEBAYORAN PHARMA</v>
      </c>
      <c r="I215" t="s">
        <v>45</v>
      </c>
      <c r="J215" t="s">
        <v>51</v>
      </c>
      <c r="K215" s="1">
        <v>19076352.239999998</v>
      </c>
      <c r="L215" s="7">
        <v>1401</v>
      </c>
    </row>
    <row r="216" spans="2:12">
      <c r="B216" s="4">
        <f t="shared" si="110"/>
        <v>2026</v>
      </c>
      <c r="C216" s="8" t="str">
        <f t="shared" si="116"/>
        <v>May</v>
      </c>
      <c r="D216" s="8">
        <v>31</v>
      </c>
      <c r="E216" t="str">
        <f t="shared" si="117"/>
        <v>SALES TO DISTRIBUTOR</v>
      </c>
      <c r="F216" s="4" t="str">
        <f t="shared" si="117"/>
        <v>DIRECT</v>
      </c>
      <c r="G216" t="str">
        <f t="shared" si="117"/>
        <v>DISTRIBUTOR</v>
      </c>
      <c r="H216" s="4" t="str">
        <f t="shared" si="117"/>
        <v>KEBAYORAN PHARMA</v>
      </c>
      <c r="I216" t="s">
        <v>46</v>
      </c>
      <c r="J216" t="s">
        <v>52</v>
      </c>
      <c r="K216" s="1">
        <v>132370374.39999999</v>
      </c>
      <c r="L216" s="7">
        <v>12556</v>
      </c>
    </row>
    <row r="217" spans="2:12">
      <c r="B217" s="4">
        <f t="shared" si="110"/>
        <v>2026</v>
      </c>
      <c r="C217" s="8" t="str">
        <f t="shared" si="116"/>
        <v>May</v>
      </c>
      <c r="D217" s="8">
        <v>31</v>
      </c>
      <c r="E217" t="str">
        <f t="shared" si="117"/>
        <v>SALES TO DISTRIBUTOR</v>
      </c>
      <c r="F217" s="4" t="str">
        <f t="shared" si="117"/>
        <v>DIRECT</v>
      </c>
      <c r="G217" t="str">
        <f t="shared" si="117"/>
        <v>DISTRIBUTOR</v>
      </c>
      <c r="H217" s="4" t="str">
        <f t="shared" si="117"/>
        <v>KEBAYORAN PHARMA</v>
      </c>
      <c r="I217" t="s">
        <v>47</v>
      </c>
      <c r="J217" t="s">
        <v>53</v>
      </c>
      <c r="K217" s="1">
        <v>52542385.279999994</v>
      </c>
      <c r="L217" s="7">
        <v>2968</v>
      </c>
    </row>
    <row r="218" spans="2:12">
      <c r="B218" s="4">
        <f t="shared" si="110"/>
        <v>2026</v>
      </c>
      <c r="C218" s="8" t="str">
        <f t="shared" si="116"/>
        <v>May</v>
      </c>
      <c r="D218" s="8">
        <v>31</v>
      </c>
      <c r="E218" t="str">
        <f t="shared" ref="E218:G218" si="118">+E217</f>
        <v>SALES TO DISTRIBUTOR</v>
      </c>
      <c r="F218" s="4" t="str">
        <f t="shared" si="118"/>
        <v>DIRECT</v>
      </c>
      <c r="G218" t="str">
        <f t="shared" si="118"/>
        <v>DISTRIBUTOR</v>
      </c>
      <c r="H218" s="4" t="s">
        <v>38</v>
      </c>
      <c r="I218" t="s">
        <v>48</v>
      </c>
      <c r="J218" t="s">
        <v>54</v>
      </c>
      <c r="K218" s="1">
        <v>677820</v>
      </c>
      <c r="L218" s="7">
        <v>39</v>
      </c>
    </row>
    <row r="219" spans="2:12">
      <c r="B219" s="4">
        <f t="shared" si="110"/>
        <v>2026</v>
      </c>
      <c r="C219" s="8" t="str">
        <f t="shared" si="116"/>
        <v>May</v>
      </c>
      <c r="D219" s="8">
        <v>31</v>
      </c>
      <c r="E219" t="str">
        <f t="shared" ref="E219:H223" si="119">+E218</f>
        <v>SALES TO DISTRIBUTOR</v>
      </c>
      <c r="F219" s="4" t="str">
        <f t="shared" si="119"/>
        <v>DIRECT</v>
      </c>
      <c r="G219" t="str">
        <f t="shared" si="119"/>
        <v>DISTRIBUTOR</v>
      </c>
      <c r="H219" s="4" t="str">
        <f t="shared" si="119"/>
        <v>PANCA PILAR PERKASA</v>
      </c>
      <c r="I219" t="s">
        <v>49</v>
      </c>
      <c r="J219" t="s">
        <v>55</v>
      </c>
      <c r="K219" s="1">
        <v>2851200</v>
      </c>
      <c r="L219" s="7">
        <v>144</v>
      </c>
    </row>
    <row r="220" spans="2:12">
      <c r="B220" s="4">
        <f t="shared" si="110"/>
        <v>2026</v>
      </c>
      <c r="C220" s="8" t="str">
        <f t="shared" si="116"/>
        <v>May</v>
      </c>
      <c r="D220" s="8">
        <v>31</v>
      </c>
      <c r="E220" t="str">
        <f t="shared" si="119"/>
        <v>SALES TO DISTRIBUTOR</v>
      </c>
      <c r="F220" s="4" t="str">
        <f t="shared" si="119"/>
        <v>DIRECT</v>
      </c>
      <c r="G220" t="str">
        <f t="shared" si="119"/>
        <v>DISTRIBUTOR</v>
      </c>
      <c r="H220" s="4" t="str">
        <f t="shared" si="119"/>
        <v>PANCA PILAR PERKASA</v>
      </c>
      <c r="I220" t="s">
        <v>44</v>
      </c>
      <c r="J220" t="s">
        <v>50</v>
      </c>
      <c r="K220" s="1">
        <v>1903465.52</v>
      </c>
      <c r="L220" s="7">
        <v>269</v>
      </c>
    </row>
    <row r="221" spans="2:12">
      <c r="B221" s="4">
        <f t="shared" si="110"/>
        <v>2026</v>
      </c>
      <c r="C221" s="8" t="str">
        <f t="shared" si="116"/>
        <v>May</v>
      </c>
      <c r="D221" s="8">
        <v>31</v>
      </c>
      <c r="E221" t="str">
        <f t="shared" si="119"/>
        <v>SALES TO DISTRIBUTOR</v>
      </c>
      <c r="F221" s="4" t="str">
        <f t="shared" si="119"/>
        <v>DIRECT</v>
      </c>
      <c r="G221" t="str">
        <f t="shared" si="119"/>
        <v>DISTRIBUTOR</v>
      </c>
      <c r="H221" s="4" t="str">
        <f t="shared" si="119"/>
        <v>PANCA PILAR PERKASA</v>
      </c>
      <c r="I221" t="s">
        <v>45</v>
      </c>
      <c r="J221" t="s">
        <v>51</v>
      </c>
      <c r="K221" s="1">
        <v>5038008.8</v>
      </c>
      <c r="L221" s="7">
        <v>370</v>
      </c>
    </row>
    <row r="222" spans="2:12">
      <c r="B222" s="4">
        <f t="shared" si="110"/>
        <v>2026</v>
      </c>
      <c r="C222" s="8" t="str">
        <f t="shared" si="116"/>
        <v>May</v>
      </c>
      <c r="D222" s="8">
        <v>31</v>
      </c>
      <c r="E222" t="str">
        <f t="shared" si="119"/>
        <v>SALES TO DISTRIBUTOR</v>
      </c>
      <c r="F222" s="4" t="str">
        <f t="shared" si="119"/>
        <v>DIRECT</v>
      </c>
      <c r="G222" t="str">
        <f t="shared" si="119"/>
        <v>DISTRIBUTOR</v>
      </c>
      <c r="H222" s="4" t="str">
        <f t="shared" si="119"/>
        <v>PANCA PILAR PERKASA</v>
      </c>
      <c r="I222" t="s">
        <v>46</v>
      </c>
      <c r="J222" t="s">
        <v>52</v>
      </c>
      <c r="K222" s="1">
        <v>5113064</v>
      </c>
      <c r="L222" s="7">
        <v>485</v>
      </c>
    </row>
    <row r="223" spans="2:12">
      <c r="B223" s="4">
        <f t="shared" si="110"/>
        <v>2026</v>
      </c>
      <c r="C223" s="8" t="str">
        <f t="shared" si="116"/>
        <v>May</v>
      </c>
      <c r="D223" s="8">
        <v>31</v>
      </c>
      <c r="E223" t="str">
        <f t="shared" si="119"/>
        <v>SALES TO DISTRIBUTOR</v>
      </c>
      <c r="F223" s="4" t="str">
        <f t="shared" si="119"/>
        <v>DIRECT</v>
      </c>
      <c r="G223" t="str">
        <f t="shared" si="119"/>
        <v>DISTRIBUTOR</v>
      </c>
      <c r="H223" s="4" t="str">
        <f t="shared" si="119"/>
        <v>PANCA PILAR PERKASA</v>
      </c>
      <c r="I223" t="s">
        <v>47</v>
      </c>
      <c r="J223" t="s">
        <v>53</v>
      </c>
      <c r="K223" s="1">
        <v>9063915.5199999996</v>
      </c>
      <c r="L223" s="7">
        <v>512</v>
      </c>
    </row>
    <row r="224" spans="2:12">
      <c r="B224" s="4">
        <f t="shared" si="110"/>
        <v>2026</v>
      </c>
      <c r="C224" s="8" t="str">
        <f t="shared" si="116"/>
        <v>May</v>
      </c>
      <c r="D224" s="8">
        <v>31</v>
      </c>
      <c r="E224" t="s">
        <v>17</v>
      </c>
      <c r="F224" s="4" t="s">
        <v>0</v>
      </c>
      <c r="G224" t="s">
        <v>40</v>
      </c>
      <c r="H224" s="4" t="s">
        <v>25</v>
      </c>
      <c r="I224" t="s">
        <v>49</v>
      </c>
      <c r="J224" t="s">
        <v>55</v>
      </c>
      <c r="K224" s="1">
        <v>114048000</v>
      </c>
      <c r="L224" s="7">
        <v>5760</v>
      </c>
    </row>
    <row r="225" spans="2:12">
      <c r="B225" s="4">
        <f t="shared" si="110"/>
        <v>2026</v>
      </c>
      <c r="C225" s="8" t="str">
        <f t="shared" si="116"/>
        <v>May</v>
      </c>
      <c r="D225" s="8">
        <v>31</v>
      </c>
      <c r="E225" t="str">
        <f t="shared" ref="E225:E262" si="120">+E224</f>
        <v>SALES TO MARKET</v>
      </c>
      <c r="F225" s="4" t="str">
        <f t="shared" ref="F225:H228" si="121">+F224</f>
        <v>DIRECT</v>
      </c>
      <c r="G225" t="str">
        <f t="shared" si="121"/>
        <v>MTI</v>
      </c>
      <c r="H225" s="4" t="str">
        <f t="shared" si="121"/>
        <v>HARI-HARI GROUP</v>
      </c>
      <c r="I225" t="s">
        <v>44</v>
      </c>
      <c r="J225" t="s">
        <v>50</v>
      </c>
      <c r="K225" s="1">
        <v>8684280</v>
      </c>
      <c r="L225" s="7">
        <v>1080</v>
      </c>
    </row>
    <row r="226" spans="2:12">
      <c r="B226" s="4">
        <f t="shared" si="110"/>
        <v>2026</v>
      </c>
      <c r="C226" s="8" t="str">
        <f t="shared" si="116"/>
        <v>May</v>
      </c>
      <c r="D226" s="8">
        <v>31</v>
      </c>
      <c r="E226" t="str">
        <f t="shared" si="120"/>
        <v>SALES TO MARKET</v>
      </c>
      <c r="F226" s="4" t="str">
        <f t="shared" si="121"/>
        <v>DIRECT</v>
      </c>
      <c r="G226" t="str">
        <f t="shared" si="121"/>
        <v>MTI</v>
      </c>
      <c r="H226" s="4" t="str">
        <f t="shared" si="121"/>
        <v>HARI-HARI GROUP</v>
      </c>
      <c r="I226" t="s">
        <v>45</v>
      </c>
      <c r="J226" t="s">
        <v>51</v>
      </c>
      <c r="K226" s="1">
        <v>16710840</v>
      </c>
      <c r="L226" s="7">
        <v>1080</v>
      </c>
    </row>
    <row r="227" spans="2:12">
      <c r="B227" s="4">
        <f t="shared" si="110"/>
        <v>2026</v>
      </c>
      <c r="C227" s="8" t="str">
        <f t="shared" si="116"/>
        <v>May</v>
      </c>
      <c r="D227" s="8">
        <v>31</v>
      </c>
      <c r="E227" t="str">
        <f t="shared" si="120"/>
        <v>SALES TO MARKET</v>
      </c>
      <c r="F227" s="4" t="str">
        <f t="shared" si="121"/>
        <v>DIRECT</v>
      </c>
      <c r="G227" t="str">
        <f t="shared" si="121"/>
        <v>MTI</v>
      </c>
      <c r="H227" s="4" t="str">
        <f t="shared" si="121"/>
        <v>HARI-HARI GROUP</v>
      </c>
      <c r="I227" t="s">
        <v>46</v>
      </c>
      <c r="J227" t="s">
        <v>52</v>
      </c>
      <c r="K227" s="1">
        <v>32346000</v>
      </c>
      <c r="L227" s="7">
        <v>2700</v>
      </c>
    </row>
    <row r="228" spans="2:12">
      <c r="B228" s="4">
        <f t="shared" si="110"/>
        <v>2026</v>
      </c>
      <c r="C228" s="8" t="str">
        <f t="shared" si="116"/>
        <v>May</v>
      </c>
      <c r="D228" s="8">
        <v>31</v>
      </c>
      <c r="E228" t="str">
        <f t="shared" si="120"/>
        <v>SALES TO MARKET</v>
      </c>
      <c r="F228" s="4" t="str">
        <f t="shared" si="121"/>
        <v>DIRECT</v>
      </c>
      <c r="G228" t="str">
        <f t="shared" si="121"/>
        <v>MTI</v>
      </c>
      <c r="H228" s="4" t="str">
        <f t="shared" si="121"/>
        <v>HARI-HARI GROUP</v>
      </c>
      <c r="I228" t="s">
        <v>47</v>
      </c>
      <c r="J228" t="s">
        <v>53</v>
      </c>
      <c r="K228" s="1">
        <v>19312320</v>
      </c>
      <c r="L228" s="7">
        <v>960</v>
      </c>
    </row>
    <row r="229" spans="2:12">
      <c r="B229" s="4">
        <f t="shared" si="110"/>
        <v>2026</v>
      </c>
      <c r="C229" s="8" t="str">
        <f t="shared" si="116"/>
        <v>May</v>
      </c>
      <c r="D229" s="8">
        <v>31</v>
      </c>
      <c r="E229" t="str">
        <f t="shared" si="120"/>
        <v>SALES TO MARKET</v>
      </c>
      <c r="F229" s="4" t="str">
        <f t="shared" ref="F229:G229" si="122">+F228</f>
        <v>DIRECT</v>
      </c>
      <c r="G229" t="str">
        <f t="shared" si="122"/>
        <v>MTI</v>
      </c>
      <c r="H229" s="4" t="s">
        <v>33</v>
      </c>
      <c r="I229" t="s">
        <v>45</v>
      </c>
      <c r="J229" t="s">
        <v>51</v>
      </c>
      <c r="K229" s="1">
        <v>1927008</v>
      </c>
      <c r="L229" s="7">
        <v>144</v>
      </c>
    </row>
    <row r="230" spans="2:12">
      <c r="B230" s="4">
        <f t="shared" si="110"/>
        <v>2026</v>
      </c>
      <c r="C230" s="8" t="str">
        <f t="shared" si="116"/>
        <v>May</v>
      </c>
      <c r="D230" s="8">
        <v>31</v>
      </c>
      <c r="E230" t="str">
        <f t="shared" si="120"/>
        <v>SALES TO MARKET</v>
      </c>
      <c r="F230" s="4" t="s">
        <v>11</v>
      </c>
      <c r="G230" t="s">
        <v>41</v>
      </c>
      <c r="H230" s="4" t="s">
        <v>22</v>
      </c>
      <c r="I230" t="s">
        <v>44</v>
      </c>
      <c r="J230" t="s">
        <v>50</v>
      </c>
      <c r="K230" s="3">
        <v>169825.91999999998</v>
      </c>
      <c r="L230" s="6">
        <v>24</v>
      </c>
    </row>
    <row r="231" spans="2:12">
      <c r="B231" s="4">
        <f t="shared" si="110"/>
        <v>2026</v>
      </c>
      <c r="C231" s="8" t="str">
        <f t="shared" si="116"/>
        <v>May</v>
      </c>
      <c r="D231" s="8">
        <v>31</v>
      </c>
      <c r="E231" t="str">
        <f t="shared" si="120"/>
        <v>SALES TO MARKET</v>
      </c>
      <c r="F231" s="4" t="str">
        <f t="shared" ref="F231:F240" si="123">+F230</f>
        <v>KP</v>
      </c>
      <c r="G231" t="str">
        <f t="shared" ref="G231:G238" si="124">+G230</f>
        <v>NKA</v>
      </c>
      <c r="H231" s="4" t="str">
        <f t="shared" ref="H231:H233" si="125">+H230</f>
        <v>ALFAMART</v>
      </c>
      <c r="I231" t="s">
        <v>45</v>
      </c>
      <c r="J231" t="s">
        <v>51</v>
      </c>
      <c r="K231" s="3">
        <v>326789.76000000001</v>
      </c>
      <c r="L231" s="6">
        <v>24</v>
      </c>
    </row>
    <row r="232" spans="2:12">
      <c r="B232" s="4">
        <f t="shared" si="110"/>
        <v>2026</v>
      </c>
      <c r="C232" s="8" t="str">
        <f t="shared" si="116"/>
        <v>May</v>
      </c>
      <c r="D232" s="8">
        <v>31</v>
      </c>
      <c r="E232" t="str">
        <f t="shared" si="120"/>
        <v>SALES TO MARKET</v>
      </c>
      <c r="F232" s="4" t="str">
        <f t="shared" si="123"/>
        <v>KP</v>
      </c>
      <c r="G232" t="str">
        <f t="shared" si="124"/>
        <v>NKA</v>
      </c>
      <c r="H232" s="4" t="str">
        <f t="shared" si="125"/>
        <v>ALFAMART</v>
      </c>
      <c r="I232" t="s">
        <v>46</v>
      </c>
      <c r="J232" t="s">
        <v>52</v>
      </c>
      <c r="K232" s="3">
        <v>51489081.599999994</v>
      </c>
      <c r="L232" s="6">
        <v>4884</v>
      </c>
    </row>
    <row r="233" spans="2:12">
      <c r="B233" s="4">
        <f t="shared" si="110"/>
        <v>2026</v>
      </c>
      <c r="C233" s="8" t="str">
        <f t="shared" si="116"/>
        <v>May</v>
      </c>
      <c r="D233" s="8">
        <v>31</v>
      </c>
      <c r="E233" t="str">
        <f t="shared" si="120"/>
        <v>SALES TO MARKET</v>
      </c>
      <c r="F233" s="4" t="str">
        <f t="shared" si="123"/>
        <v>KP</v>
      </c>
      <c r="G233" t="str">
        <f t="shared" si="124"/>
        <v>NKA</v>
      </c>
      <c r="H233" s="4" t="str">
        <f t="shared" si="125"/>
        <v>ALFAMART</v>
      </c>
      <c r="I233" t="s">
        <v>47</v>
      </c>
      <c r="J233" t="s">
        <v>53</v>
      </c>
      <c r="K233" s="3">
        <v>1699484.16</v>
      </c>
      <c r="L233" s="6">
        <v>96</v>
      </c>
    </row>
    <row r="234" spans="2:12">
      <c r="B234" s="4">
        <f t="shared" si="110"/>
        <v>2026</v>
      </c>
      <c r="C234" s="8" t="str">
        <f t="shared" si="116"/>
        <v>May</v>
      </c>
      <c r="D234" s="8">
        <v>31</v>
      </c>
      <c r="E234" t="str">
        <f t="shared" si="120"/>
        <v>SALES TO MARKET</v>
      </c>
      <c r="F234" s="4" t="str">
        <f t="shared" si="123"/>
        <v>KP</v>
      </c>
      <c r="G234" t="str">
        <f t="shared" si="124"/>
        <v>NKA</v>
      </c>
      <c r="H234" s="4" t="s">
        <v>26</v>
      </c>
      <c r="I234" t="s">
        <v>46</v>
      </c>
      <c r="J234" t="s">
        <v>52</v>
      </c>
      <c r="K234" s="3">
        <v>20620934.400000002</v>
      </c>
      <c r="L234" s="6">
        <v>1956</v>
      </c>
    </row>
    <row r="235" spans="2:12">
      <c r="B235" s="4">
        <f t="shared" si="110"/>
        <v>2026</v>
      </c>
      <c r="C235" s="8" t="str">
        <f t="shared" si="116"/>
        <v>May</v>
      </c>
      <c r="D235" s="8">
        <v>31</v>
      </c>
      <c r="E235" t="str">
        <f t="shared" si="120"/>
        <v>SALES TO MARKET</v>
      </c>
      <c r="F235" s="4" t="str">
        <f t="shared" si="123"/>
        <v>KP</v>
      </c>
      <c r="G235" t="str">
        <f t="shared" si="124"/>
        <v>NKA</v>
      </c>
      <c r="H235" s="4" t="str">
        <f>+H234</f>
        <v>INDOGROSIR</v>
      </c>
      <c r="I235" t="s">
        <v>47</v>
      </c>
      <c r="J235" t="s">
        <v>53</v>
      </c>
      <c r="K235" s="3">
        <v>3611403.84</v>
      </c>
      <c r="L235" s="6">
        <v>204</v>
      </c>
    </row>
    <row r="236" spans="2:12">
      <c r="B236" s="4">
        <f t="shared" si="110"/>
        <v>2026</v>
      </c>
      <c r="C236" s="8" t="str">
        <f t="shared" si="116"/>
        <v>May</v>
      </c>
      <c r="D236" s="8">
        <v>31</v>
      </c>
      <c r="E236" t="str">
        <f t="shared" si="120"/>
        <v>SALES TO MARKET</v>
      </c>
      <c r="F236" s="4" t="str">
        <f t="shared" si="123"/>
        <v>KP</v>
      </c>
      <c r="G236" t="str">
        <f t="shared" si="124"/>
        <v>NKA</v>
      </c>
      <c r="H236" s="4" t="s">
        <v>27</v>
      </c>
      <c r="I236" t="s">
        <v>46</v>
      </c>
      <c r="J236" t="s">
        <v>52</v>
      </c>
      <c r="K236" s="3">
        <v>33524832.000000004</v>
      </c>
      <c r="L236" s="6">
        <v>3180</v>
      </c>
    </row>
    <row r="237" spans="2:12">
      <c r="B237" s="4">
        <f t="shared" si="110"/>
        <v>2026</v>
      </c>
      <c r="C237" s="8" t="str">
        <f t="shared" si="116"/>
        <v>May</v>
      </c>
      <c r="D237" s="8">
        <v>31</v>
      </c>
      <c r="E237" t="str">
        <f t="shared" si="120"/>
        <v>SALES TO MARKET</v>
      </c>
      <c r="F237" s="4" t="str">
        <f t="shared" si="123"/>
        <v>KP</v>
      </c>
      <c r="G237" t="str">
        <f t="shared" si="124"/>
        <v>NKA</v>
      </c>
      <c r="H237" s="4" t="str">
        <f>+H236</f>
        <v>INDOMARET</v>
      </c>
      <c r="I237" t="s">
        <v>47</v>
      </c>
      <c r="J237" t="s">
        <v>53</v>
      </c>
      <c r="K237" s="3">
        <v>0</v>
      </c>
      <c r="L237" s="6">
        <v>0</v>
      </c>
    </row>
    <row r="238" spans="2:12">
      <c r="B238" s="4">
        <f t="shared" si="110"/>
        <v>2026</v>
      </c>
      <c r="C238" s="8" t="str">
        <f t="shared" si="116"/>
        <v>May</v>
      </c>
      <c r="D238" s="8">
        <v>31</v>
      </c>
      <c r="E238" t="str">
        <f t="shared" si="120"/>
        <v>SALES TO MARKET</v>
      </c>
      <c r="F238" s="4" t="str">
        <f t="shared" si="123"/>
        <v>KP</v>
      </c>
      <c r="G238" t="str">
        <f t="shared" si="124"/>
        <v>NKA</v>
      </c>
      <c r="H238" s="4" t="s">
        <v>28</v>
      </c>
      <c r="I238" t="s">
        <v>46</v>
      </c>
      <c r="J238" t="s">
        <v>52</v>
      </c>
      <c r="K238" s="3">
        <v>3183804.8</v>
      </c>
      <c r="L238" s="6">
        <v>302</v>
      </c>
    </row>
    <row r="239" spans="2:12">
      <c r="B239" s="4">
        <f t="shared" si="110"/>
        <v>2026</v>
      </c>
      <c r="C239" s="8" t="str">
        <f t="shared" si="116"/>
        <v>May</v>
      </c>
      <c r="D239" s="8">
        <v>31</v>
      </c>
      <c r="E239" t="str">
        <f t="shared" si="120"/>
        <v>SALES TO MARKET</v>
      </c>
      <c r="F239" s="4" t="str">
        <f t="shared" si="123"/>
        <v>KP</v>
      </c>
      <c r="G239" t="str">
        <f t="shared" ref="G239:H239" si="126">+G238</f>
        <v>NKA</v>
      </c>
      <c r="H239" s="4" t="str">
        <f t="shared" si="126"/>
        <v>LION SUPERINDO</v>
      </c>
      <c r="I239" t="s">
        <v>47</v>
      </c>
      <c r="J239" t="s">
        <v>53</v>
      </c>
      <c r="K239" s="3">
        <v>3186532.8</v>
      </c>
      <c r="L239" s="6">
        <v>180</v>
      </c>
    </row>
    <row r="240" spans="2:12">
      <c r="B240" s="4">
        <f t="shared" si="110"/>
        <v>2026</v>
      </c>
      <c r="C240" s="8" t="str">
        <f t="shared" si="116"/>
        <v>May</v>
      </c>
      <c r="D240" s="8">
        <v>31</v>
      </c>
      <c r="E240" t="str">
        <f t="shared" si="120"/>
        <v>SALES TO MARKET</v>
      </c>
      <c r="F240" s="4" t="str">
        <f t="shared" si="123"/>
        <v>KP</v>
      </c>
      <c r="G240" t="s">
        <v>42</v>
      </c>
      <c r="H240" s="4" t="s">
        <v>24</v>
      </c>
      <c r="I240" t="s">
        <v>44</v>
      </c>
      <c r="J240" t="s">
        <v>50</v>
      </c>
      <c r="K240" s="3">
        <v>169825.91999999998</v>
      </c>
      <c r="L240" s="6">
        <v>24</v>
      </c>
    </row>
    <row r="241" spans="2:12">
      <c r="B241" s="4">
        <f t="shared" si="110"/>
        <v>2026</v>
      </c>
      <c r="C241" s="8" t="str">
        <f t="shared" si="116"/>
        <v>May</v>
      </c>
      <c r="D241" s="8">
        <v>31</v>
      </c>
      <c r="E241" t="str">
        <f t="shared" si="120"/>
        <v>SALES TO MARKET</v>
      </c>
      <c r="F241" s="4" t="str">
        <f t="shared" ref="F241:H243" si="127">+F240</f>
        <v>KP</v>
      </c>
      <c r="G241" t="str">
        <f t="shared" si="127"/>
        <v>NON NKA</v>
      </c>
      <c r="H241" s="4" t="str">
        <f t="shared" si="127"/>
        <v>BORMA GROUP</v>
      </c>
      <c r="I241" t="s">
        <v>45</v>
      </c>
      <c r="J241" t="s">
        <v>51</v>
      </c>
      <c r="K241" s="3">
        <v>326789.76000000001</v>
      </c>
      <c r="L241" s="6">
        <v>24</v>
      </c>
    </row>
    <row r="242" spans="2:12">
      <c r="B242" s="4">
        <f t="shared" si="110"/>
        <v>2026</v>
      </c>
      <c r="C242" s="8" t="str">
        <f t="shared" si="116"/>
        <v>May</v>
      </c>
      <c r="D242" s="8">
        <v>31</v>
      </c>
      <c r="E242" t="str">
        <f t="shared" si="120"/>
        <v>SALES TO MARKET</v>
      </c>
      <c r="F242" s="4" t="str">
        <f t="shared" si="127"/>
        <v>KP</v>
      </c>
      <c r="G242" t="str">
        <f t="shared" si="127"/>
        <v>NON NKA</v>
      </c>
      <c r="H242" s="4" t="str">
        <f t="shared" si="127"/>
        <v>BORMA GROUP</v>
      </c>
      <c r="I242" t="s">
        <v>46</v>
      </c>
      <c r="J242" t="s">
        <v>52</v>
      </c>
      <c r="K242" s="3">
        <v>875019.2</v>
      </c>
      <c r="L242" s="6">
        <v>83</v>
      </c>
    </row>
    <row r="243" spans="2:12">
      <c r="B243" s="4">
        <f t="shared" si="110"/>
        <v>2026</v>
      </c>
      <c r="C243" s="8" t="str">
        <f t="shared" si="116"/>
        <v>May</v>
      </c>
      <c r="D243" s="8">
        <v>31</v>
      </c>
      <c r="E243" t="str">
        <f t="shared" si="120"/>
        <v>SALES TO MARKET</v>
      </c>
      <c r="F243" s="4" t="str">
        <f t="shared" si="127"/>
        <v>KP</v>
      </c>
      <c r="G243" t="str">
        <f t="shared" si="127"/>
        <v>NON NKA</v>
      </c>
      <c r="H243" s="4" t="str">
        <f t="shared" si="127"/>
        <v>BORMA GROUP</v>
      </c>
      <c r="I243" t="s">
        <v>47</v>
      </c>
      <c r="J243" t="s">
        <v>53</v>
      </c>
      <c r="K243" s="3">
        <v>637306.55999999994</v>
      </c>
      <c r="L243" s="6">
        <v>36</v>
      </c>
    </row>
    <row r="244" spans="2:12">
      <c r="B244" s="4">
        <f t="shared" si="110"/>
        <v>2026</v>
      </c>
      <c r="C244" s="8" t="str">
        <f t="shared" si="116"/>
        <v>May</v>
      </c>
      <c r="D244" s="8">
        <v>31</v>
      </c>
      <c r="E244" t="str">
        <f t="shared" si="120"/>
        <v>SALES TO MARKET</v>
      </c>
      <c r="F244" s="4" t="str">
        <f t="shared" ref="F244:G244" si="128">+F243</f>
        <v>KP</v>
      </c>
      <c r="G244" t="str">
        <f t="shared" si="128"/>
        <v>NON NKA</v>
      </c>
      <c r="H244" s="4" t="s">
        <v>29</v>
      </c>
      <c r="I244" t="s">
        <v>44</v>
      </c>
      <c r="J244" t="s">
        <v>50</v>
      </c>
      <c r="K244" s="3">
        <v>445793.03999999992</v>
      </c>
      <c r="L244" s="6">
        <v>63</v>
      </c>
    </row>
    <row r="245" spans="2:12">
      <c r="B245" s="4">
        <f t="shared" si="110"/>
        <v>2026</v>
      </c>
      <c r="C245" s="8" t="str">
        <f t="shared" si="116"/>
        <v>May</v>
      </c>
      <c r="D245" s="8">
        <v>31</v>
      </c>
      <c r="E245" t="str">
        <f t="shared" si="120"/>
        <v>SALES TO MARKET</v>
      </c>
      <c r="F245" s="4" t="str">
        <f t="shared" ref="F245:H247" si="129">+F244</f>
        <v>KP</v>
      </c>
      <c r="G245" t="str">
        <f t="shared" si="129"/>
        <v>NON NKA</v>
      </c>
      <c r="H245" s="4" t="str">
        <f t="shared" si="129"/>
        <v>NAGA SWALAYAN GROUP</v>
      </c>
      <c r="I245" t="s">
        <v>45</v>
      </c>
      <c r="J245" t="s">
        <v>51</v>
      </c>
      <c r="K245" s="3">
        <v>3594687.36</v>
      </c>
      <c r="L245" s="6">
        <v>264</v>
      </c>
    </row>
    <row r="246" spans="2:12">
      <c r="B246" s="4">
        <f t="shared" si="110"/>
        <v>2026</v>
      </c>
      <c r="C246" s="8" t="str">
        <f t="shared" si="116"/>
        <v>May</v>
      </c>
      <c r="D246" s="8">
        <v>31</v>
      </c>
      <c r="E246" t="str">
        <f t="shared" si="120"/>
        <v>SALES TO MARKET</v>
      </c>
      <c r="F246" s="4" t="str">
        <f t="shared" si="129"/>
        <v>KP</v>
      </c>
      <c r="G246" t="str">
        <f t="shared" si="129"/>
        <v>NON NKA</v>
      </c>
      <c r="H246" s="4" t="str">
        <f t="shared" si="129"/>
        <v>NAGA SWALAYAN GROUP</v>
      </c>
      <c r="I246" t="s">
        <v>46</v>
      </c>
      <c r="J246" t="s">
        <v>52</v>
      </c>
      <c r="K246" s="3">
        <v>1960886.3999999997</v>
      </c>
      <c r="L246" s="6">
        <v>186</v>
      </c>
    </row>
    <row r="247" spans="2:12">
      <c r="B247" s="4">
        <f t="shared" si="110"/>
        <v>2026</v>
      </c>
      <c r="C247" s="8" t="str">
        <f t="shared" ref="C247:C267" si="130">+C246</f>
        <v>May</v>
      </c>
      <c r="D247" s="8">
        <v>31</v>
      </c>
      <c r="E247" t="str">
        <f t="shared" si="120"/>
        <v>SALES TO MARKET</v>
      </c>
      <c r="F247" s="4" t="str">
        <f t="shared" si="129"/>
        <v>KP</v>
      </c>
      <c r="G247" t="str">
        <f t="shared" si="129"/>
        <v>NON NKA</v>
      </c>
      <c r="H247" s="4" t="str">
        <f t="shared" si="129"/>
        <v>NAGA SWALAYAN GROUP</v>
      </c>
      <c r="I247" t="s">
        <v>47</v>
      </c>
      <c r="J247" t="s">
        <v>53</v>
      </c>
      <c r="K247" s="3">
        <v>3611403.8399999994</v>
      </c>
      <c r="L247" s="6">
        <v>204</v>
      </c>
    </row>
    <row r="248" spans="2:12">
      <c r="B248" s="4">
        <f t="shared" si="110"/>
        <v>2026</v>
      </c>
      <c r="C248" s="8" t="str">
        <f t="shared" si="130"/>
        <v>May</v>
      </c>
      <c r="D248" s="8">
        <v>31</v>
      </c>
      <c r="E248" t="str">
        <f t="shared" si="120"/>
        <v>SALES TO MARKET</v>
      </c>
      <c r="F248" s="4" t="str">
        <f t="shared" ref="F248:G248" si="131">+F247</f>
        <v>KP</v>
      </c>
      <c r="G248" t="str">
        <f t="shared" si="131"/>
        <v>NON NKA</v>
      </c>
      <c r="H248" s="4" t="s">
        <v>30</v>
      </c>
      <c r="I248" t="s">
        <v>44</v>
      </c>
      <c r="J248" t="s">
        <v>50</v>
      </c>
      <c r="K248" s="3">
        <v>198130.24</v>
      </c>
      <c r="L248" s="6">
        <v>28</v>
      </c>
    </row>
    <row r="249" spans="2:12">
      <c r="B249" s="4">
        <f t="shared" si="110"/>
        <v>2026</v>
      </c>
      <c r="C249" s="8" t="str">
        <f t="shared" si="130"/>
        <v>May</v>
      </c>
      <c r="D249" s="8">
        <v>31</v>
      </c>
      <c r="E249" t="str">
        <f t="shared" si="120"/>
        <v>SALES TO MARKET</v>
      </c>
      <c r="F249" s="4" t="str">
        <f t="shared" ref="F249:H251" si="132">+F248</f>
        <v>KP</v>
      </c>
      <c r="G249" t="str">
        <f t="shared" si="132"/>
        <v>NON NKA</v>
      </c>
      <c r="H249" s="4" t="str">
        <f t="shared" si="132"/>
        <v>OTHERS</v>
      </c>
      <c r="I249" t="s">
        <v>45</v>
      </c>
      <c r="J249" t="s">
        <v>51</v>
      </c>
      <c r="K249" s="3">
        <v>571882.07999999996</v>
      </c>
      <c r="L249" s="6">
        <v>42</v>
      </c>
    </row>
    <row r="250" spans="2:12">
      <c r="B250" s="4">
        <f t="shared" si="110"/>
        <v>2026</v>
      </c>
      <c r="C250" s="8" t="str">
        <f t="shared" si="130"/>
        <v>May</v>
      </c>
      <c r="D250" s="8">
        <v>31</v>
      </c>
      <c r="E250" t="str">
        <f t="shared" si="120"/>
        <v>SALES TO MARKET</v>
      </c>
      <c r="F250" s="4" t="str">
        <f t="shared" si="132"/>
        <v>KP</v>
      </c>
      <c r="G250" t="str">
        <f t="shared" si="132"/>
        <v>NON NKA</v>
      </c>
      <c r="H250" s="4" t="str">
        <f t="shared" si="132"/>
        <v>OTHERS</v>
      </c>
      <c r="I250" t="s">
        <v>46</v>
      </c>
      <c r="J250" t="s">
        <v>52</v>
      </c>
      <c r="K250" s="3">
        <v>1064782.4000000001</v>
      </c>
      <c r="L250" s="6">
        <v>101</v>
      </c>
    </row>
    <row r="251" spans="2:12">
      <c r="B251" s="4">
        <f t="shared" si="110"/>
        <v>2026</v>
      </c>
      <c r="C251" s="8" t="str">
        <f t="shared" si="130"/>
        <v>May</v>
      </c>
      <c r="D251" s="8">
        <v>31</v>
      </c>
      <c r="E251" t="str">
        <f t="shared" si="120"/>
        <v>SALES TO MARKET</v>
      </c>
      <c r="F251" s="4" t="str">
        <f t="shared" si="132"/>
        <v>KP</v>
      </c>
      <c r="G251" t="str">
        <f t="shared" si="132"/>
        <v>NON NKA</v>
      </c>
      <c r="H251" s="4" t="str">
        <f t="shared" si="132"/>
        <v>OTHERS</v>
      </c>
      <c r="I251" t="s">
        <v>47</v>
      </c>
      <c r="J251" t="s">
        <v>53</v>
      </c>
      <c r="K251" s="3">
        <v>2991800.2399999993</v>
      </c>
      <c r="L251" s="6">
        <v>169</v>
      </c>
    </row>
    <row r="252" spans="2:12">
      <c r="B252" s="4">
        <f t="shared" si="110"/>
        <v>2026</v>
      </c>
      <c r="C252" s="8" t="str">
        <f t="shared" si="130"/>
        <v>May</v>
      </c>
      <c r="D252" s="8">
        <v>31</v>
      </c>
      <c r="E252" t="str">
        <f t="shared" si="120"/>
        <v>SALES TO MARKET</v>
      </c>
      <c r="F252" s="4" t="str">
        <f t="shared" ref="F252:G252" si="133">+F251</f>
        <v>KP</v>
      </c>
      <c r="G252" t="str">
        <f t="shared" si="133"/>
        <v>NON NKA</v>
      </c>
      <c r="H252" s="4" t="s">
        <v>31</v>
      </c>
      <c r="I252" t="s">
        <v>44</v>
      </c>
      <c r="J252" t="s">
        <v>50</v>
      </c>
      <c r="K252" s="3">
        <v>169825.91999999998</v>
      </c>
      <c r="L252" s="6">
        <v>24</v>
      </c>
    </row>
    <row r="253" spans="2:12">
      <c r="B253" s="4">
        <f t="shared" si="110"/>
        <v>2026</v>
      </c>
      <c r="C253" s="8" t="str">
        <f t="shared" si="130"/>
        <v>May</v>
      </c>
      <c r="D253" s="8">
        <v>31</v>
      </c>
      <c r="E253" t="str">
        <f t="shared" si="120"/>
        <v>SALES TO MARKET</v>
      </c>
      <c r="F253" s="4" t="str">
        <f t="shared" ref="F253:H255" si="134">+F252</f>
        <v>KP</v>
      </c>
      <c r="G253" t="str">
        <f t="shared" si="134"/>
        <v>NON NKA</v>
      </c>
      <c r="H253" s="4" t="str">
        <f t="shared" si="134"/>
        <v>TIP-TOP SWALAYAN GROUP</v>
      </c>
      <c r="I253" t="s">
        <v>45</v>
      </c>
      <c r="J253" t="s">
        <v>51</v>
      </c>
      <c r="K253" s="3">
        <v>326789.76000000001</v>
      </c>
      <c r="L253" s="6">
        <v>24</v>
      </c>
    </row>
    <row r="254" spans="2:12">
      <c r="B254" s="4">
        <f t="shared" si="110"/>
        <v>2026</v>
      </c>
      <c r="C254" s="8" t="str">
        <f t="shared" si="130"/>
        <v>May</v>
      </c>
      <c r="D254" s="8">
        <v>31</v>
      </c>
      <c r="E254" t="str">
        <f t="shared" si="120"/>
        <v>SALES TO MARKET</v>
      </c>
      <c r="F254" s="4" t="str">
        <f t="shared" si="134"/>
        <v>KP</v>
      </c>
      <c r="G254" t="str">
        <f t="shared" si="134"/>
        <v>NON NKA</v>
      </c>
      <c r="H254" s="4" t="str">
        <f t="shared" si="134"/>
        <v>TIP-TOP SWALAYAN GROUP</v>
      </c>
      <c r="I254" t="s">
        <v>46</v>
      </c>
      <c r="J254" t="s">
        <v>52</v>
      </c>
      <c r="K254" s="3">
        <v>1138579.2</v>
      </c>
      <c r="L254" s="6">
        <v>108</v>
      </c>
    </row>
    <row r="255" spans="2:12">
      <c r="B255" s="4">
        <f t="shared" si="110"/>
        <v>2026</v>
      </c>
      <c r="C255" s="8" t="str">
        <f t="shared" si="130"/>
        <v>May</v>
      </c>
      <c r="D255" s="8">
        <v>31</v>
      </c>
      <c r="E255" t="str">
        <f t="shared" si="120"/>
        <v>SALES TO MARKET</v>
      </c>
      <c r="F255" s="4" t="str">
        <f t="shared" si="134"/>
        <v>KP</v>
      </c>
      <c r="G255" t="str">
        <f t="shared" si="134"/>
        <v>NON NKA</v>
      </c>
      <c r="H255" s="4" t="str">
        <f t="shared" si="134"/>
        <v>TIP-TOP SWALAYAN GROUP</v>
      </c>
      <c r="I255" t="s">
        <v>47</v>
      </c>
      <c r="J255" t="s">
        <v>53</v>
      </c>
      <c r="K255" s="3">
        <v>1487048.64</v>
      </c>
      <c r="L255" s="6">
        <v>84</v>
      </c>
    </row>
    <row r="256" spans="2:12">
      <c r="B256" s="4">
        <f t="shared" si="110"/>
        <v>2026</v>
      </c>
      <c r="C256" s="8" t="str">
        <f t="shared" si="130"/>
        <v>May</v>
      </c>
      <c r="D256" s="8">
        <v>31</v>
      </c>
      <c r="E256" t="str">
        <f t="shared" si="120"/>
        <v>SALES TO MARKET</v>
      </c>
      <c r="F256" s="4" t="s">
        <v>12</v>
      </c>
      <c r="G256" t="s">
        <v>41</v>
      </c>
      <c r="H256" s="4" t="s">
        <v>22</v>
      </c>
      <c r="I256" t="s">
        <v>46</v>
      </c>
      <c r="J256" t="s">
        <v>52</v>
      </c>
      <c r="K256" s="3">
        <v>6325440</v>
      </c>
      <c r="L256" s="6">
        <v>600</v>
      </c>
    </row>
    <row r="257" spans="2:12">
      <c r="B257" s="4">
        <f t="shared" si="110"/>
        <v>2026</v>
      </c>
      <c r="C257" s="8" t="str">
        <f t="shared" si="130"/>
        <v>May</v>
      </c>
      <c r="D257" s="8">
        <v>31</v>
      </c>
      <c r="E257" t="str">
        <f t="shared" si="120"/>
        <v>SALES TO MARKET</v>
      </c>
      <c r="F257" s="4" t="str">
        <f t="shared" ref="F257:F258" si="135">+F256</f>
        <v>PM</v>
      </c>
      <c r="G257" t="str">
        <f t="shared" ref="G257:H257" si="136">+G256</f>
        <v>NKA</v>
      </c>
      <c r="H257" s="4" t="str">
        <f t="shared" si="136"/>
        <v>ALFAMART</v>
      </c>
      <c r="I257" t="s">
        <v>47</v>
      </c>
      <c r="J257" t="s">
        <v>53</v>
      </c>
      <c r="K257" s="3">
        <v>212435.52</v>
      </c>
      <c r="L257" s="6">
        <v>12</v>
      </c>
    </row>
    <row r="258" spans="2:12">
      <c r="B258" s="4">
        <f t="shared" si="110"/>
        <v>2026</v>
      </c>
      <c r="C258" s="8" t="str">
        <f t="shared" si="130"/>
        <v>May</v>
      </c>
      <c r="D258" s="8">
        <v>31</v>
      </c>
      <c r="E258" t="str">
        <f t="shared" si="120"/>
        <v>SALES TO MARKET</v>
      </c>
      <c r="F258" s="4" t="str">
        <f t="shared" si="135"/>
        <v>PM</v>
      </c>
      <c r="G258" t="s">
        <v>42</v>
      </c>
      <c r="H258" s="4" t="s">
        <v>30</v>
      </c>
      <c r="I258" t="s">
        <v>44</v>
      </c>
      <c r="J258" t="s">
        <v>50</v>
      </c>
      <c r="K258" s="3">
        <v>7076.08</v>
      </c>
      <c r="L258" s="6">
        <v>1</v>
      </c>
    </row>
    <row r="259" spans="2:12">
      <c r="B259" s="4">
        <f t="shared" si="110"/>
        <v>2026</v>
      </c>
      <c r="C259" s="8" t="str">
        <f t="shared" si="130"/>
        <v>May</v>
      </c>
      <c r="D259" s="8">
        <v>31</v>
      </c>
      <c r="E259" t="str">
        <f t="shared" si="120"/>
        <v>SALES TO MARKET</v>
      </c>
      <c r="F259" s="4" t="str">
        <f t="shared" ref="F259:H261" si="137">+F258</f>
        <v>PM</v>
      </c>
      <c r="G259" t="str">
        <f t="shared" si="137"/>
        <v>NON NKA</v>
      </c>
      <c r="H259" s="4" t="str">
        <f t="shared" si="137"/>
        <v>OTHERS</v>
      </c>
      <c r="I259" t="s">
        <v>45</v>
      </c>
      <c r="J259" t="s">
        <v>51</v>
      </c>
      <c r="K259" s="3">
        <v>13616.24</v>
      </c>
      <c r="L259" s="6">
        <v>1</v>
      </c>
    </row>
    <row r="260" spans="2:12">
      <c r="B260" s="4">
        <f t="shared" ref="B260:B323" si="138">+B259</f>
        <v>2026</v>
      </c>
      <c r="C260" s="8" t="str">
        <f t="shared" si="130"/>
        <v>May</v>
      </c>
      <c r="D260" s="8">
        <v>31</v>
      </c>
      <c r="E260" t="str">
        <f t="shared" si="120"/>
        <v>SALES TO MARKET</v>
      </c>
      <c r="F260" s="4" t="str">
        <f t="shared" si="137"/>
        <v>PM</v>
      </c>
      <c r="G260" t="str">
        <f t="shared" si="137"/>
        <v>NON NKA</v>
      </c>
      <c r="H260" s="4" t="str">
        <f t="shared" si="137"/>
        <v>OTHERS</v>
      </c>
      <c r="I260" t="s">
        <v>46</v>
      </c>
      <c r="J260" t="s">
        <v>52</v>
      </c>
      <c r="K260" s="3">
        <v>390068.80000000005</v>
      </c>
      <c r="L260" s="6">
        <v>37</v>
      </c>
    </row>
    <row r="261" spans="2:12">
      <c r="B261" s="4">
        <f t="shared" si="138"/>
        <v>2026</v>
      </c>
      <c r="C261" s="8" t="str">
        <f t="shared" si="130"/>
        <v>May</v>
      </c>
      <c r="D261" s="8">
        <v>31</v>
      </c>
      <c r="E261" t="str">
        <f t="shared" si="120"/>
        <v>SALES TO MARKET</v>
      </c>
      <c r="F261" s="4" t="str">
        <f t="shared" si="137"/>
        <v>PM</v>
      </c>
      <c r="G261" t="str">
        <f t="shared" si="137"/>
        <v>NON NKA</v>
      </c>
      <c r="H261" s="4" t="str">
        <f t="shared" si="137"/>
        <v>OTHERS</v>
      </c>
      <c r="I261" t="s">
        <v>47</v>
      </c>
      <c r="J261" t="s">
        <v>53</v>
      </c>
      <c r="K261" s="3">
        <v>849742.08</v>
      </c>
      <c r="L261" s="6">
        <v>48</v>
      </c>
    </row>
    <row r="262" spans="2:12">
      <c r="B262" s="4">
        <f t="shared" si="138"/>
        <v>2026</v>
      </c>
      <c r="C262" s="8" t="str">
        <f t="shared" si="130"/>
        <v>May</v>
      </c>
      <c r="D262" s="8">
        <v>31</v>
      </c>
      <c r="E262" t="str">
        <f t="shared" si="120"/>
        <v>SALES TO MARKET</v>
      </c>
      <c r="F262" s="4" t="s">
        <v>13</v>
      </c>
      <c r="G262" t="s">
        <v>41</v>
      </c>
      <c r="H262" s="4" t="s">
        <v>22</v>
      </c>
      <c r="I262" t="s">
        <v>46</v>
      </c>
      <c r="J262" t="s">
        <v>52</v>
      </c>
      <c r="K262" s="3">
        <v>3668755.1999999997</v>
      </c>
      <c r="L262" s="6">
        <v>348</v>
      </c>
    </row>
    <row r="263" spans="2:12">
      <c r="B263" s="4">
        <f t="shared" si="138"/>
        <v>2026</v>
      </c>
      <c r="C263" s="8" t="str">
        <f t="shared" si="130"/>
        <v>May</v>
      </c>
      <c r="D263" s="8">
        <v>31</v>
      </c>
      <c r="E263" t="str">
        <f t="shared" ref="E263:G263" si="139">+E262</f>
        <v>SALES TO MARKET</v>
      </c>
      <c r="F263" s="4" t="str">
        <f t="shared" si="139"/>
        <v>VIP</v>
      </c>
      <c r="G263" t="str">
        <f t="shared" si="139"/>
        <v>NKA</v>
      </c>
      <c r="H263" s="4" t="s">
        <v>26</v>
      </c>
      <c r="I263" t="s">
        <v>46</v>
      </c>
      <c r="J263" t="s">
        <v>52</v>
      </c>
      <c r="K263" s="3">
        <v>5566387.1999999993</v>
      </c>
      <c r="L263" s="6">
        <v>528</v>
      </c>
    </row>
    <row r="264" spans="2:12">
      <c r="B264" s="4">
        <f t="shared" si="138"/>
        <v>2026</v>
      </c>
      <c r="C264" s="8" t="str">
        <f t="shared" si="130"/>
        <v>May</v>
      </c>
      <c r="D264" s="8">
        <v>31</v>
      </c>
      <c r="E264" t="str">
        <f t="shared" ref="E264:F264" si="140">+E263</f>
        <v>SALES TO MARKET</v>
      </c>
      <c r="F264" s="4" t="str">
        <f t="shared" si="140"/>
        <v>VIP</v>
      </c>
      <c r="G264" t="s">
        <v>42</v>
      </c>
      <c r="H264" s="4" t="s">
        <v>30</v>
      </c>
      <c r="I264" t="s">
        <v>44</v>
      </c>
      <c r="J264" t="s">
        <v>50</v>
      </c>
      <c r="K264" s="3">
        <v>318423.59999999998</v>
      </c>
      <c r="L264" s="6">
        <v>45</v>
      </c>
    </row>
    <row r="265" spans="2:12">
      <c r="B265" s="4">
        <f t="shared" si="138"/>
        <v>2026</v>
      </c>
      <c r="C265" s="8" t="str">
        <f t="shared" si="130"/>
        <v>May</v>
      </c>
      <c r="D265" s="8">
        <v>31</v>
      </c>
      <c r="E265" t="str">
        <f t="shared" ref="E265:H267" si="141">+E264</f>
        <v>SALES TO MARKET</v>
      </c>
      <c r="F265" s="4" t="str">
        <f t="shared" si="141"/>
        <v>VIP</v>
      </c>
      <c r="G265" t="str">
        <f t="shared" si="141"/>
        <v>NON NKA</v>
      </c>
      <c r="H265" s="4" t="str">
        <f t="shared" si="141"/>
        <v>OTHERS</v>
      </c>
      <c r="I265" t="s">
        <v>45</v>
      </c>
      <c r="J265" t="s">
        <v>51</v>
      </c>
      <c r="K265" s="3">
        <v>1266310.3199999998</v>
      </c>
      <c r="L265" s="6">
        <v>93</v>
      </c>
    </row>
    <row r="266" spans="2:12">
      <c r="B266" s="4">
        <f t="shared" si="138"/>
        <v>2026</v>
      </c>
      <c r="C266" s="8" t="str">
        <f t="shared" si="130"/>
        <v>May</v>
      </c>
      <c r="D266" s="8">
        <v>31</v>
      </c>
      <c r="E266" t="str">
        <f t="shared" si="141"/>
        <v>SALES TO MARKET</v>
      </c>
      <c r="F266" s="4" t="str">
        <f t="shared" si="141"/>
        <v>VIP</v>
      </c>
      <c r="G266" t="str">
        <f t="shared" si="141"/>
        <v>NON NKA</v>
      </c>
      <c r="H266" s="4" t="str">
        <f t="shared" si="141"/>
        <v>OTHERS</v>
      </c>
      <c r="I266" t="s">
        <v>46</v>
      </c>
      <c r="J266" t="s">
        <v>52</v>
      </c>
      <c r="K266" s="3">
        <v>695798.39999999991</v>
      </c>
      <c r="L266" s="6">
        <v>66</v>
      </c>
    </row>
    <row r="267" spans="2:12">
      <c r="B267" s="4">
        <f t="shared" si="138"/>
        <v>2026</v>
      </c>
      <c r="C267" s="8" t="str">
        <f t="shared" si="130"/>
        <v>May</v>
      </c>
      <c r="D267" s="8">
        <v>31</v>
      </c>
      <c r="E267" t="str">
        <f t="shared" si="141"/>
        <v>SALES TO MARKET</v>
      </c>
      <c r="F267" s="4" t="str">
        <f t="shared" si="141"/>
        <v>VIP</v>
      </c>
      <c r="G267" t="str">
        <f t="shared" si="141"/>
        <v>NON NKA</v>
      </c>
      <c r="H267" s="4" t="str">
        <f t="shared" si="141"/>
        <v>OTHERS</v>
      </c>
      <c r="I267" t="s">
        <v>47</v>
      </c>
      <c r="J267" t="s">
        <v>53</v>
      </c>
      <c r="K267" s="3">
        <v>1009068.72</v>
      </c>
      <c r="L267" s="6">
        <v>57</v>
      </c>
    </row>
    <row r="268" spans="2:12">
      <c r="B268" s="4">
        <f t="shared" si="138"/>
        <v>2026</v>
      </c>
      <c r="C268" s="8" t="s">
        <v>7</v>
      </c>
      <c r="D268" s="8">
        <v>30</v>
      </c>
      <c r="E268" t="s">
        <v>16</v>
      </c>
      <c r="F268" s="4" t="s">
        <v>0</v>
      </c>
      <c r="G268" t="s">
        <v>39</v>
      </c>
      <c r="H268" s="4" t="s">
        <v>34</v>
      </c>
      <c r="I268" t="s">
        <v>44</v>
      </c>
      <c r="J268" t="s">
        <v>50</v>
      </c>
      <c r="K268" s="1">
        <v>6833822.1600000001</v>
      </c>
      <c r="L268" s="7">
        <v>909</v>
      </c>
    </row>
    <row r="269" spans="2:12">
      <c r="B269" s="4">
        <f t="shared" si="138"/>
        <v>2026</v>
      </c>
      <c r="C269" s="8" t="str">
        <f t="shared" ref="C269:C300" si="142">+C268</f>
        <v>Jun</v>
      </c>
      <c r="D269" s="8">
        <v>30</v>
      </c>
      <c r="E269" t="str">
        <f t="shared" ref="E269:H271" si="143">+E268</f>
        <v>SALES TO DISTRIBUTOR</v>
      </c>
      <c r="F269" s="4" t="str">
        <f t="shared" si="143"/>
        <v>DIRECT</v>
      </c>
      <c r="G269" t="str">
        <f t="shared" si="143"/>
        <v>DISTRIBUTOR</v>
      </c>
      <c r="H269" s="4" t="str">
        <f t="shared" si="143"/>
        <v>KEBAYORAN PHARMA</v>
      </c>
      <c r="I269" t="s">
        <v>45</v>
      </c>
      <c r="J269" t="s">
        <v>51</v>
      </c>
      <c r="K269" s="1">
        <v>25184203.199999996</v>
      </c>
      <c r="L269" s="7">
        <v>1938</v>
      </c>
    </row>
    <row r="270" spans="2:12">
      <c r="B270" s="4">
        <f t="shared" si="138"/>
        <v>2026</v>
      </c>
      <c r="C270" s="8" t="str">
        <f t="shared" si="142"/>
        <v>Jun</v>
      </c>
      <c r="D270" s="8">
        <v>30</v>
      </c>
      <c r="E270" t="str">
        <f t="shared" si="143"/>
        <v>SALES TO DISTRIBUTOR</v>
      </c>
      <c r="F270" s="4" t="str">
        <f t="shared" si="143"/>
        <v>DIRECT</v>
      </c>
      <c r="G270" t="str">
        <f t="shared" si="143"/>
        <v>DISTRIBUTOR</v>
      </c>
      <c r="H270" s="4" t="str">
        <f t="shared" si="143"/>
        <v>KEBAYORAN PHARMA</v>
      </c>
      <c r="I270" t="s">
        <v>46</v>
      </c>
      <c r="J270" t="s">
        <v>52</v>
      </c>
      <c r="K270" s="1">
        <v>266930386.20000002</v>
      </c>
      <c r="L270" s="7">
        <v>22383</v>
      </c>
    </row>
    <row r="271" spans="2:12">
      <c r="B271" s="4">
        <f t="shared" si="138"/>
        <v>2026</v>
      </c>
      <c r="C271" s="8" t="str">
        <f t="shared" si="142"/>
        <v>Jun</v>
      </c>
      <c r="D271" s="8">
        <v>30</v>
      </c>
      <c r="E271" t="str">
        <f t="shared" si="143"/>
        <v>SALES TO DISTRIBUTOR</v>
      </c>
      <c r="F271" s="4" t="str">
        <f t="shared" si="143"/>
        <v>DIRECT</v>
      </c>
      <c r="G271" t="str">
        <f t="shared" si="143"/>
        <v>DISTRIBUTOR</v>
      </c>
      <c r="H271" s="4" t="str">
        <f t="shared" si="143"/>
        <v>KEBAYORAN PHARMA</v>
      </c>
      <c r="I271" t="s">
        <v>47</v>
      </c>
      <c r="J271" t="s">
        <v>53</v>
      </c>
      <c r="K271" s="1">
        <v>26441804.800000001</v>
      </c>
      <c r="L271" s="7">
        <v>1504</v>
      </c>
    </row>
    <row r="272" spans="2:12">
      <c r="B272" s="4">
        <f t="shared" si="138"/>
        <v>2026</v>
      </c>
      <c r="C272" s="8" t="str">
        <f t="shared" si="142"/>
        <v>Jun</v>
      </c>
      <c r="D272" s="8">
        <v>30</v>
      </c>
      <c r="E272" t="str">
        <f t="shared" ref="E272:G272" si="144">+E271</f>
        <v>SALES TO DISTRIBUTOR</v>
      </c>
      <c r="F272" s="4" t="str">
        <f t="shared" si="144"/>
        <v>DIRECT</v>
      </c>
      <c r="G272" t="str">
        <f t="shared" si="144"/>
        <v>DISTRIBUTOR</v>
      </c>
      <c r="H272" s="4" t="s">
        <v>38</v>
      </c>
      <c r="I272" t="s">
        <v>48</v>
      </c>
      <c r="J272" t="s">
        <v>54</v>
      </c>
      <c r="K272" s="1">
        <v>2977920</v>
      </c>
      <c r="L272" s="7">
        <v>144</v>
      </c>
    </row>
    <row r="273" spans="2:12">
      <c r="B273" s="4">
        <f t="shared" si="138"/>
        <v>2026</v>
      </c>
      <c r="C273" s="8" t="str">
        <f t="shared" si="142"/>
        <v>Jun</v>
      </c>
      <c r="D273" s="8">
        <v>30</v>
      </c>
      <c r="E273" t="str">
        <f t="shared" ref="E273:H277" si="145">+E272</f>
        <v>SALES TO DISTRIBUTOR</v>
      </c>
      <c r="F273" s="4" t="str">
        <f t="shared" si="145"/>
        <v>DIRECT</v>
      </c>
      <c r="G273" t="str">
        <f t="shared" si="145"/>
        <v>DISTRIBUTOR</v>
      </c>
      <c r="H273" s="4" t="str">
        <f t="shared" si="145"/>
        <v>PANCA PILAR PERKASA</v>
      </c>
      <c r="I273" t="s">
        <v>49</v>
      </c>
      <c r="J273" t="s">
        <v>55</v>
      </c>
      <c r="K273" s="1">
        <v>2914560</v>
      </c>
      <c r="L273" s="7">
        <v>144</v>
      </c>
    </row>
    <row r="274" spans="2:12">
      <c r="B274" s="4">
        <f t="shared" si="138"/>
        <v>2026</v>
      </c>
      <c r="C274" s="8" t="str">
        <f t="shared" si="142"/>
        <v>Jun</v>
      </c>
      <c r="D274" s="8">
        <v>30</v>
      </c>
      <c r="E274" t="str">
        <f t="shared" si="145"/>
        <v>SALES TO DISTRIBUTOR</v>
      </c>
      <c r="F274" s="4" t="str">
        <f t="shared" si="145"/>
        <v>DIRECT</v>
      </c>
      <c r="G274" t="str">
        <f t="shared" si="145"/>
        <v>DISTRIBUTOR</v>
      </c>
      <c r="H274" s="4" t="str">
        <f t="shared" si="145"/>
        <v>PANCA PILAR PERKASA</v>
      </c>
      <c r="I274" t="s">
        <v>44</v>
      </c>
      <c r="J274" t="s">
        <v>50</v>
      </c>
      <c r="K274" s="1">
        <v>1859193.6</v>
      </c>
      <c r="L274" s="7">
        <v>240</v>
      </c>
    </row>
    <row r="275" spans="2:12">
      <c r="B275" s="4">
        <f t="shared" si="138"/>
        <v>2026</v>
      </c>
      <c r="C275" s="8" t="str">
        <f t="shared" si="142"/>
        <v>Jun</v>
      </c>
      <c r="D275" s="8">
        <v>30</v>
      </c>
      <c r="E275" t="str">
        <f t="shared" si="145"/>
        <v>SALES TO DISTRIBUTOR</v>
      </c>
      <c r="F275" s="4" t="str">
        <f t="shared" si="145"/>
        <v>DIRECT</v>
      </c>
      <c r="G275" t="str">
        <f t="shared" si="145"/>
        <v>DISTRIBUTOR</v>
      </c>
      <c r="H275" s="4" t="str">
        <f t="shared" si="145"/>
        <v>PANCA PILAR PERKASA</v>
      </c>
      <c r="I275" t="s">
        <v>45</v>
      </c>
      <c r="J275" t="s">
        <v>51</v>
      </c>
      <c r="K275" s="1">
        <v>3464313.6</v>
      </c>
      <c r="L275" s="7">
        <v>240</v>
      </c>
    </row>
    <row r="276" spans="2:12">
      <c r="B276" s="4">
        <f t="shared" si="138"/>
        <v>2026</v>
      </c>
      <c r="C276" s="8" t="str">
        <f t="shared" si="142"/>
        <v>Jun</v>
      </c>
      <c r="D276" s="8">
        <v>30</v>
      </c>
      <c r="E276" t="str">
        <f t="shared" si="145"/>
        <v>SALES TO DISTRIBUTOR</v>
      </c>
      <c r="F276" s="4" t="str">
        <f t="shared" si="145"/>
        <v>DIRECT</v>
      </c>
      <c r="G276" t="str">
        <f t="shared" si="145"/>
        <v>DISTRIBUTOR</v>
      </c>
      <c r="H276" s="4" t="str">
        <f t="shared" si="145"/>
        <v>PANCA PILAR PERKASA</v>
      </c>
      <c r="I276" t="s">
        <v>46</v>
      </c>
      <c r="J276" t="s">
        <v>52</v>
      </c>
      <c r="K276" s="1">
        <v>1464672</v>
      </c>
      <c r="L276" s="7">
        <v>120</v>
      </c>
    </row>
    <row r="277" spans="2:12">
      <c r="B277" s="4">
        <f t="shared" si="138"/>
        <v>2026</v>
      </c>
      <c r="C277" s="8" t="str">
        <f t="shared" si="142"/>
        <v>Jun</v>
      </c>
      <c r="D277" s="8">
        <v>30</v>
      </c>
      <c r="E277" t="str">
        <f t="shared" si="145"/>
        <v>SALES TO DISTRIBUTOR</v>
      </c>
      <c r="F277" s="4" t="str">
        <f t="shared" si="145"/>
        <v>DIRECT</v>
      </c>
      <c r="G277" t="str">
        <f t="shared" si="145"/>
        <v>DISTRIBUTOR</v>
      </c>
      <c r="H277" s="4" t="str">
        <f t="shared" si="145"/>
        <v>PANCA PILAR PERKASA</v>
      </c>
      <c r="I277" t="s">
        <v>47</v>
      </c>
      <c r="J277" t="s">
        <v>53</v>
      </c>
      <c r="K277" s="1">
        <v>1167038.3999999999</v>
      </c>
      <c r="L277" s="7">
        <v>60</v>
      </c>
    </row>
    <row r="278" spans="2:12">
      <c r="B278" s="4">
        <f t="shared" si="138"/>
        <v>2026</v>
      </c>
      <c r="C278" s="8" t="str">
        <f t="shared" si="142"/>
        <v>Jun</v>
      </c>
      <c r="D278" s="8">
        <v>30</v>
      </c>
      <c r="E278" t="str">
        <f t="shared" ref="E278:G278" si="146">+E277</f>
        <v>SALES TO DISTRIBUTOR</v>
      </c>
      <c r="F278" s="4" t="str">
        <f t="shared" si="146"/>
        <v>DIRECT</v>
      </c>
      <c r="G278" t="str">
        <f t="shared" si="146"/>
        <v>DISTRIBUTOR</v>
      </c>
      <c r="H278" s="4" t="s">
        <v>36</v>
      </c>
      <c r="I278" t="s">
        <v>45</v>
      </c>
      <c r="J278" t="s">
        <v>51</v>
      </c>
      <c r="K278" s="1">
        <v>1732156.8</v>
      </c>
      <c r="L278" s="7">
        <v>120</v>
      </c>
    </row>
    <row r="279" spans="2:12">
      <c r="B279" s="4">
        <f t="shared" si="138"/>
        <v>2026</v>
      </c>
      <c r="C279" s="8" t="str">
        <f t="shared" si="142"/>
        <v>Jun</v>
      </c>
      <c r="D279" s="8">
        <v>30</v>
      </c>
      <c r="E279" t="str">
        <f t="shared" ref="E279:H280" si="147">+E278</f>
        <v>SALES TO DISTRIBUTOR</v>
      </c>
      <c r="F279" s="4" t="str">
        <f t="shared" si="147"/>
        <v>DIRECT</v>
      </c>
      <c r="G279" t="str">
        <f t="shared" si="147"/>
        <v>DISTRIBUTOR</v>
      </c>
      <c r="H279" s="4" t="str">
        <f t="shared" si="147"/>
        <v>PRIMA MEDITAMA</v>
      </c>
      <c r="I279" t="s">
        <v>46</v>
      </c>
      <c r="J279" t="s">
        <v>52</v>
      </c>
      <c r="K279" s="1">
        <v>14646720</v>
      </c>
      <c r="L279" s="7">
        <v>1200</v>
      </c>
    </row>
    <row r="280" spans="2:12">
      <c r="B280" s="4">
        <f t="shared" si="138"/>
        <v>2026</v>
      </c>
      <c r="C280" s="8" t="str">
        <f t="shared" si="142"/>
        <v>Jun</v>
      </c>
      <c r="D280" s="8">
        <v>30</v>
      </c>
      <c r="E280" t="str">
        <f t="shared" si="147"/>
        <v>SALES TO DISTRIBUTOR</v>
      </c>
      <c r="F280" s="4" t="str">
        <f t="shared" si="147"/>
        <v>DIRECT</v>
      </c>
      <c r="G280" t="str">
        <f t="shared" si="147"/>
        <v>DISTRIBUTOR</v>
      </c>
      <c r="H280" s="4" t="str">
        <f t="shared" si="147"/>
        <v>PRIMA MEDITAMA</v>
      </c>
      <c r="I280" t="s">
        <v>47</v>
      </c>
      <c r="J280" t="s">
        <v>53</v>
      </c>
      <c r="K280" s="1">
        <v>4668153.5999999996</v>
      </c>
      <c r="L280" s="7">
        <v>240</v>
      </c>
    </row>
    <row r="281" spans="2:12">
      <c r="B281" s="4">
        <f t="shared" si="138"/>
        <v>2026</v>
      </c>
      <c r="C281" s="8" t="str">
        <f t="shared" si="142"/>
        <v>Jun</v>
      </c>
      <c r="D281" s="8">
        <v>30</v>
      </c>
      <c r="E281" t="str">
        <f t="shared" ref="E281:G281" si="148">+E280</f>
        <v>SALES TO DISTRIBUTOR</v>
      </c>
      <c r="F281" s="4" t="str">
        <f t="shared" si="148"/>
        <v>DIRECT</v>
      </c>
      <c r="G281" t="str">
        <f t="shared" si="148"/>
        <v>DISTRIBUTOR</v>
      </c>
      <c r="H281" s="4" t="s">
        <v>37</v>
      </c>
      <c r="I281" t="s">
        <v>44</v>
      </c>
      <c r="J281" t="s">
        <v>50</v>
      </c>
      <c r="K281" s="1">
        <v>1273680</v>
      </c>
      <c r="L281" s="7">
        <v>180</v>
      </c>
    </row>
    <row r="282" spans="2:12">
      <c r="B282" s="4">
        <f t="shared" si="138"/>
        <v>2026</v>
      </c>
      <c r="C282" s="8" t="str">
        <f t="shared" si="142"/>
        <v>Jun</v>
      </c>
      <c r="D282" s="8">
        <v>30</v>
      </c>
      <c r="E282" t="str">
        <f t="shared" ref="E282:H284" si="149">+E281</f>
        <v>SALES TO DISTRIBUTOR</v>
      </c>
      <c r="F282" s="4" t="str">
        <f t="shared" si="149"/>
        <v>DIRECT</v>
      </c>
      <c r="G282" t="str">
        <f t="shared" si="149"/>
        <v>DISTRIBUTOR</v>
      </c>
      <c r="H282" s="4" t="str">
        <f t="shared" si="149"/>
        <v>VARIA INDAH PARAMITA</v>
      </c>
      <c r="I282" t="s">
        <v>45</v>
      </c>
      <c r="J282" t="s">
        <v>51</v>
      </c>
      <c r="K282" s="1">
        <v>6535680</v>
      </c>
      <c r="L282" s="7">
        <v>480</v>
      </c>
    </row>
    <row r="283" spans="2:12">
      <c r="B283" s="4">
        <f t="shared" si="138"/>
        <v>2026</v>
      </c>
      <c r="C283" s="8" t="str">
        <f t="shared" si="142"/>
        <v>Jun</v>
      </c>
      <c r="D283" s="8">
        <v>30</v>
      </c>
      <c r="E283" t="str">
        <f t="shared" si="149"/>
        <v>SALES TO DISTRIBUTOR</v>
      </c>
      <c r="F283" s="4" t="str">
        <f t="shared" si="149"/>
        <v>DIRECT</v>
      </c>
      <c r="G283" t="str">
        <f t="shared" si="149"/>
        <v>DISTRIBUTOR</v>
      </c>
      <c r="H283" s="4" t="str">
        <f t="shared" si="149"/>
        <v>VARIA INDAH PARAMITA</v>
      </c>
      <c r="I283" t="s">
        <v>46</v>
      </c>
      <c r="J283" t="s">
        <v>52</v>
      </c>
      <c r="K283" s="1">
        <v>23508660</v>
      </c>
      <c r="L283" s="7">
        <v>2230</v>
      </c>
    </row>
    <row r="284" spans="2:12">
      <c r="B284" s="4">
        <f t="shared" si="138"/>
        <v>2026</v>
      </c>
      <c r="C284" s="8" t="str">
        <f t="shared" si="142"/>
        <v>Jun</v>
      </c>
      <c r="D284" s="8">
        <v>30</v>
      </c>
      <c r="E284" t="str">
        <f t="shared" si="149"/>
        <v>SALES TO DISTRIBUTOR</v>
      </c>
      <c r="F284" s="4" t="str">
        <f t="shared" si="149"/>
        <v>DIRECT</v>
      </c>
      <c r="G284" t="str">
        <f t="shared" si="149"/>
        <v>DISTRIBUTOR</v>
      </c>
      <c r="H284" s="4" t="str">
        <f t="shared" si="149"/>
        <v>VARIA INDAH PARAMITA</v>
      </c>
      <c r="I284" t="s">
        <v>47</v>
      </c>
      <c r="J284" t="s">
        <v>53</v>
      </c>
      <c r="K284" s="1">
        <v>5664960</v>
      </c>
      <c r="L284" s="7">
        <v>320</v>
      </c>
    </row>
    <row r="285" spans="2:12">
      <c r="B285" s="4">
        <f t="shared" si="138"/>
        <v>2026</v>
      </c>
      <c r="C285" s="8" t="str">
        <f t="shared" si="142"/>
        <v>Jun</v>
      </c>
      <c r="D285" s="8">
        <v>30</v>
      </c>
      <c r="E285" t="s">
        <v>17</v>
      </c>
      <c r="F285" s="4" t="s">
        <v>0</v>
      </c>
      <c r="G285" t="s">
        <v>40</v>
      </c>
      <c r="H285" s="4" t="s">
        <v>25</v>
      </c>
      <c r="I285" t="s">
        <v>44</v>
      </c>
      <c r="J285" t="s">
        <v>50</v>
      </c>
      <c r="K285" s="1">
        <v>9263237.7599999998</v>
      </c>
      <c r="L285" s="7">
        <v>1728</v>
      </c>
    </row>
    <row r="286" spans="2:12">
      <c r="B286" s="4">
        <f t="shared" si="138"/>
        <v>2026</v>
      </c>
      <c r="C286" s="8" t="str">
        <f t="shared" si="142"/>
        <v>Jun</v>
      </c>
      <c r="D286" s="8">
        <v>30</v>
      </c>
      <c r="E286" t="str">
        <f t="shared" ref="E286:E317" si="150">+E285</f>
        <v>SALES TO MARKET</v>
      </c>
      <c r="F286" s="4" t="str">
        <f t="shared" ref="F286:H286" si="151">+F285</f>
        <v>DIRECT</v>
      </c>
      <c r="G286" t="str">
        <f t="shared" si="151"/>
        <v>MTI</v>
      </c>
      <c r="H286" s="4" t="str">
        <f t="shared" si="151"/>
        <v>HARI-HARI GROUP</v>
      </c>
      <c r="I286" t="s">
        <v>45</v>
      </c>
      <c r="J286" t="s">
        <v>51</v>
      </c>
      <c r="K286" s="1">
        <v>18567594</v>
      </c>
      <c r="L286" s="7">
        <v>1800</v>
      </c>
    </row>
    <row r="287" spans="2:12">
      <c r="B287" s="4">
        <f t="shared" si="138"/>
        <v>2026</v>
      </c>
      <c r="C287" s="8" t="str">
        <f t="shared" si="142"/>
        <v>Jun</v>
      </c>
      <c r="D287" s="8">
        <v>30</v>
      </c>
      <c r="E287" t="str">
        <f t="shared" si="150"/>
        <v>SALES TO MARKET</v>
      </c>
      <c r="F287" s="4" t="str">
        <f t="shared" ref="F287:G287" si="152">+F286</f>
        <v>DIRECT</v>
      </c>
      <c r="G287" t="str">
        <f t="shared" si="152"/>
        <v>MTI</v>
      </c>
      <c r="H287" s="4" t="s">
        <v>20</v>
      </c>
      <c r="I287" t="s">
        <v>44</v>
      </c>
      <c r="J287" t="s">
        <v>50</v>
      </c>
      <c r="K287" s="1">
        <v>5354976</v>
      </c>
      <c r="L287" s="7">
        <v>672</v>
      </c>
    </row>
    <row r="288" spans="2:12">
      <c r="B288" s="4">
        <f t="shared" si="138"/>
        <v>2026</v>
      </c>
      <c r="C288" s="8" t="str">
        <f t="shared" si="142"/>
        <v>Jun</v>
      </c>
      <c r="D288" s="8">
        <v>30</v>
      </c>
      <c r="E288" t="str">
        <f t="shared" si="150"/>
        <v>SALES TO MARKET</v>
      </c>
      <c r="F288" s="4" t="str">
        <f t="shared" ref="F288:H290" si="153">+F287</f>
        <v>DIRECT</v>
      </c>
      <c r="G288" t="str">
        <f t="shared" si="153"/>
        <v>MTI</v>
      </c>
      <c r="H288" s="4" t="str">
        <f t="shared" si="153"/>
        <v>HYPERMART</v>
      </c>
      <c r="I288" t="s">
        <v>45</v>
      </c>
      <c r="J288" t="s">
        <v>51</v>
      </c>
      <c r="K288" s="1">
        <v>4627512</v>
      </c>
      <c r="L288" s="7">
        <v>312</v>
      </c>
    </row>
    <row r="289" spans="2:12">
      <c r="B289" s="4">
        <f t="shared" si="138"/>
        <v>2026</v>
      </c>
      <c r="C289" s="8" t="str">
        <f t="shared" si="142"/>
        <v>Jun</v>
      </c>
      <c r="D289" s="8">
        <v>30</v>
      </c>
      <c r="E289" t="str">
        <f t="shared" si="150"/>
        <v>SALES TO MARKET</v>
      </c>
      <c r="F289" s="4" t="str">
        <f t="shared" si="153"/>
        <v>DIRECT</v>
      </c>
      <c r="G289" t="str">
        <f t="shared" si="153"/>
        <v>MTI</v>
      </c>
      <c r="H289" s="4" t="str">
        <f t="shared" si="153"/>
        <v>HYPERMART</v>
      </c>
      <c r="I289" t="s">
        <v>46</v>
      </c>
      <c r="J289" t="s">
        <v>52</v>
      </c>
      <c r="K289" s="1">
        <v>7067628</v>
      </c>
      <c r="L289" s="7">
        <v>564</v>
      </c>
    </row>
    <row r="290" spans="2:12">
      <c r="B290" s="4">
        <f t="shared" si="138"/>
        <v>2026</v>
      </c>
      <c r="C290" s="8" t="str">
        <f t="shared" si="142"/>
        <v>Jun</v>
      </c>
      <c r="D290" s="8">
        <v>30</v>
      </c>
      <c r="E290" t="str">
        <f t="shared" si="150"/>
        <v>SALES TO MARKET</v>
      </c>
      <c r="F290" s="4" t="str">
        <f t="shared" si="153"/>
        <v>DIRECT</v>
      </c>
      <c r="G290" t="str">
        <f t="shared" si="153"/>
        <v>MTI</v>
      </c>
      <c r="H290" s="4" t="str">
        <f t="shared" si="153"/>
        <v>HYPERMART</v>
      </c>
      <c r="I290" t="s">
        <v>47</v>
      </c>
      <c r="J290" t="s">
        <v>53</v>
      </c>
      <c r="K290" s="1">
        <v>13187268</v>
      </c>
      <c r="L290" s="7">
        <v>660</v>
      </c>
    </row>
    <row r="291" spans="2:12">
      <c r="B291" s="4">
        <f t="shared" si="138"/>
        <v>2026</v>
      </c>
      <c r="C291" s="8" t="str">
        <f t="shared" si="142"/>
        <v>Jun</v>
      </c>
      <c r="D291" s="8">
        <v>30</v>
      </c>
      <c r="E291" t="str">
        <f t="shared" si="150"/>
        <v>SALES TO MARKET</v>
      </c>
      <c r="F291" s="4" t="str">
        <f t="shared" ref="F291:G291" si="154">+F290</f>
        <v>DIRECT</v>
      </c>
      <c r="G291" t="str">
        <f t="shared" si="154"/>
        <v>MTI</v>
      </c>
      <c r="H291" s="4" t="s">
        <v>33</v>
      </c>
      <c r="I291" t="s">
        <v>49</v>
      </c>
      <c r="J291" t="s">
        <v>55</v>
      </c>
      <c r="K291" s="1">
        <v>21528000</v>
      </c>
      <c r="L291" s="7">
        <v>936</v>
      </c>
    </row>
    <row r="292" spans="2:12">
      <c r="B292" s="4">
        <f t="shared" si="138"/>
        <v>2026</v>
      </c>
      <c r="C292" s="8" t="str">
        <f t="shared" si="142"/>
        <v>Jun</v>
      </c>
      <c r="D292" s="8">
        <v>30</v>
      </c>
      <c r="E292" t="str">
        <f t="shared" si="150"/>
        <v>SALES TO MARKET</v>
      </c>
      <c r="F292" s="4" t="str">
        <f t="shared" ref="F292:H294" si="155">+F291</f>
        <v>DIRECT</v>
      </c>
      <c r="G292" t="str">
        <f t="shared" si="155"/>
        <v>MTI</v>
      </c>
      <c r="H292" s="4" t="str">
        <f t="shared" si="155"/>
        <v>KEDAI MART</v>
      </c>
      <c r="I292" t="s">
        <v>44</v>
      </c>
      <c r="J292" t="s">
        <v>50</v>
      </c>
      <c r="K292" s="1">
        <v>845088.96</v>
      </c>
      <c r="L292" s="7">
        <v>96</v>
      </c>
    </row>
    <row r="293" spans="2:12">
      <c r="B293" s="4">
        <f t="shared" si="138"/>
        <v>2026</v>
      </c>
      <c r="C293" s="8" t="str">
        <f t="shared" si="142"/>
        <v>Jun</v>
      </c>
      <c r="D293" s="8">
        <v>30</v>
      </c>
      <c r="E293" t="str">
        <f t="shared" si="150"/>
        <v>SALES TO MARKET</v>
      </c>
      <c r="F293" s="4" t="str">
        <f t="shared" si="155"/>
        <v>DIRECT</v>
      </c>
      <c r="G293" t="str">
        <f t="shared" si="155"/>
        <v>MTI</v>
      </c>
      <c r="H293" s="4" t="str">
        <f t="shared" si="155"/>
        <v>KEDAI MART</v>
      </c>
      <c r="I293" t="s">
        <v>46</v>
      </c>
      <c r="J293" t="s">
        <v>52</v>
      </c>
      <c r="K293" s="1">
        <v>1664396.4</v>
      </c>
      <c r="L293" s="7">
        <v>120</v>
      </c>
    </row>
    <row r="294" spans="2:12">
      <c r="B294" s="4">
        <f t="shared" si="138"/>
        <v>2026</v>
      </c>
      <c r="C294" s="8" t="str">
        <f t="shared" si="142"/>
        <v>Jun</v>
      </c>
      <c r="D294" s="8">
        <v>30</v>
      </c>
      <c r="E294" t="str">
        <f t="shared" si="150"/>
        <v>SALES TO MARKET</v>
      </c>
      <c r="F294" s="4" t="str">
        <f t="shared" si="155"/>
        <v>DIRECT</v>
      </c>
      <c r="G294" t="str">
        <f t="shared" si="155"/>
        <v>MTI</v>
      </c>
      <c r="H294" s="4" t="str">
        <f t="shared" si="155"/>
        <v>KEDAI MART</v>
      </c>
      <c r="I294" t="s">
        <v>47</v>
      </c>
      <c r="J294" t="s">
        <v>53</v>
      </c>
      <c r="K294" s="1">
        <v>2652360</v>
      </c>
      <c r="L294" s="7">
        <v>120</v>
      </c>
    </row>
    <row r="295" spans="2:12">
      <c r="B295" s="4">
        <f t="shared" si="138"/>
        <v>2026</v>
      </c>
      <c r="C295" s="8" t="str">
        <f t="shared" si="142"/>
        <v>Jun</v>
      </c>
      <c r="D295" s="8">
        <v>30</v>
      </c>
      <c r="E295" t="str">
        <f t="shared" si="150"/>
        <v>SALES TO MARKET</v>
      </c>
      <c r="F295" s="4" t="s">
        <v>11</v>
      </c>
      <c r="G295" t="s">
        <v>41</v>
      </c>
      <c r="H295" s="4" t="s">
        <v>22</v>
      </c>
      <c r="I295" t="s">
        <v>44</v>
      </c>
      <c r="J295" t="s">
        <v>50</v>
      </c>
      <c r="K295" s="3">
        <v>743712</v>
      </c>
      <c r="L295" s="6">
        <v>96</v>
      </c>
    </row>
    <row r="296" spans="2:12">
      <c r="B296" s="4">
        <f t="shared" si="138"/>
        <v>2026</v>
      </c>
      <c r="C296" s="8" t="str">
        <f t="shared" si="142"/>
        <v>Jun</v>
      </c>
      <c r="D296" s="8">
        <v>30</v>
      </c>
      <c r="E296" t="str">
        <f t="shared" si="150"/>
        <v>SALES TO MARKET</v>
      </c>
      <c r="F296" s="4" t="str">
        <f t="shared" ref="F296:F307" si="156">+F295</f>
        <v>KP</v>
      </c>
      <c r="G296" t="str">
        <f t="shared" ref="G296:G305" si="157">+G295</f>
        <v>NKA</v>
      </c>
      <c r="H296" s="4" t="str">
        <f t="shared" ref="H296:H298" si="158">+H295</f>
        <v>ALFAMART</v>
      </c>
      <c r="I296" t="s">
        <v>45</v>
      </c>
      <c r="J296" t="s">
        <v>51</v>
      </c>
      <c r="K296" s="3">
        <v>314928</v>
      </c>
      <c r="L296" s="6">
        <v>24</v>
      </c>
    </row>
    <row r="297" spans="2:12">
      <c r="B297" s="4">
        <f t="shared" si="138"/>
        <v>2026</v>
      </c>
      <c r="C297" s="8" t="str">
        <f t="shared" si="142"/>
        <v>Jun</v>
      </c>
      <c r="D297" s="8">
        <v>30</v>
      </c>
      <c r="E297" t="str">
        <f t="shared" si="150"/>
        <v>SALES TO MARKET</v>
      </c>
      <c r="F297" s="4" t="str">
        <f t="shared" si="156"/>
        <v>KP</v>
      </c>
      <c r="G297" t="str">
        <f t="shared" si="157"/>
        <v>NKA</v>
      </c>
      <c r="H297" s="4" t="str">
        <f t="shared" si="158"/>
        <v>ALFAMART</v>
      </c>
      <c r="I297" t="s">
        <v>46</v>
      </c>
      <c r="J297" t="s">
        <v>52</v>
      </c>
      <c r="K297" s="3">
        <v>107924544</v>
      </c>
      <c r="L297" s="6">
        <v>9048</v>
      </c>
    </row>
    <row r="298" spans="2:12">
      <c r="B298" s="4">
        <f t="shared" si="138"/>
        <v>2026</v>
      </c>
      <c r="C298" s="8" t="str">
        <f t="shared" si="142"/>
        <v>Jun</v>
      </c>
      <c r="D298" s="8">
        <v>30</v>
      </c>
      <c r="E298" t="str">
        <f t="shared" si="150"/>
        <v>SALES TO MARKET</v>
      </c>
      <c r="F298" s="4" t="str">
        <f t="shared" si="156"/>
        <v>KP</v>
      </c>
      <c r="G298" t="str">
        <f t="shared" si="157"/>
        <v>NKA</v>
      </c>
      <c r="H298" s="4" t="str">
        <f t="shared" si="158"/>
        <v>ALFAMART</v>
      </c>
      <c r="I298" t="s">
        <v>47</v>
      </c>
      <c r="J298" t="s">
        <v>53</v>
      </c>
      <c r="K298" s="3">
        <v>3394944</v>
      </c>
      <c r="L298" s="6">
        <v>192</v>
      </c>
    </row>
    <row r="299" spans="2:12">
      <c r="B299" s="4">
        <f t="shared" si="138"/>
        <v>2026</v>
      </c>
      <c r="C299" s="8" t="str">
        <f t="shared" si="142"/>
        <v>Jun</v>
      </c>
      <c r="D299" s="8">
        <v>30</v>
      </c>
      <c r="E299" t="str">
        <f t="shared" si="150"/>
        <v>SALES TO MARKET</v>
      </c>
      <c r="F299" s="4" t="str">
        <f t="shared" si="156"/>
        <v>KP</v>
      </c>
      <c r="G299" t="str">
        <f t="shared" si="157"/>
        <v>NKA</v>
      </c>
      <c r="H299" s="4" t="s">
        <v>23</v>
      </c>
      <c r="I299" t="s">
        <v>45</v>
      </c>
      <c r="J299" t="s">
        <v>51</v>
      </c>
      <c r="K299" s="3">
        <v>4094064</v>
      </c>
      <c r="L299" s="6">
        <v>312</v>
      </c>
    </row>
    <row r="300" spans="2:12">
      <c r="B300" s="4">
        <f t="shared" si="138"/>
        <v>2026</v>
      </c>
      <c r="C300" s="8" t="str">
        <f t="shared" si="142"/>
        <v>Jun</v>
      </c>
      <c r="D300" s="8">
        <v>30</v>
      </c>
      <c r="E300" t="str">
        <f t="shared" si="150"/>
        <v>SALES TO MARKET</v>
      </c>
      <c r="F300" s="4" t="str">
        <f t="shared" si="156"/>
        <v>KP</v>
      </c>
      <c r="G300" t="str">
        <f t="shared" si="157"/>
        <v>NKA</v>
      </c>
      <c r="H300" s="4" t="str">
        <f t="shared" ref="H300:H301" si="159">+H299</f>
        <v>ALFAMIDI</v>
      </c>
      <c r="I300" t="s">
        <v>46</v>
      </c>
      <c r="J300" t="s">
        <v>52</v>
      </c>
      <c r="K300" s="3">
        <v>11307744</v>
      </c>
      <c r="L300" s="6">
        <v>948</v>
      </c>
    </row>
    <row r="301" spans="2:12">
      <c r="B301" s="4">
        <f t="shared" si="138"/>
        <v>2026</v>
      </c>
      <c r="C301" s="8" t="str">
        <f t="shared" ref="C301:C332" si="160">+C300</f>
        <v>Jun</v>
      </c>
      <c r="D301" s="8">
        <v>30</v>
      </c>
      <c r="E301" t="str">
        <f t="shared" si="150"/>
        <v>SALES TO MARKET</v>
      </c>
      <c r="F301" s="4" t="str">
        <f t="shared" si="156"/>
        <v>KP</v>
      </c>
      <c r="G301" t="str">
        <f t="shared" si="157"/>
        <v>NKA</v>
      </c>
      <c r="H301" s="4" t="str">
        <f t="shared" si="159"/>
        <v>ALFAMIDI</v>
      </c>
      <c r="I301" t="s">
        <v>47</v>
      </c>
      <c r="J301" t="s">
        <v>53</v>
      </c>
      <c r="K301" s="3">
        <v>16125984</v>
      </c>
      <c r="L301" s="6">
        <v>912</v>
      </c>
    </row>
    <row r="302" spans="2:12">
      <c r="B302" s="4">
        <f t="shared" si="138"/>
        <v>2026</v>
      </c>
      <c r="C302" s="8" t="str">
        <f t="shared" si="160"/>
        <v>Jun</v>
      </c>
      <c r="D302" s="8">
        <v>30</v>
      </c>
      <c r="E302" t="str">
        <f t="shared" si="150"/>
        <v>SALES TO MARKET</v>
      </c>
      <c r="F302" s="4" t="str">
        <f t="shared" si="156"/>
        <v>KP</v>
      </c>
      <c r="G302" t="str">
        <f t="shared" si="157"/>
        <v>NKA</v>
      </c>
      <c r="H302" s="4" t="s">
        <v>26</v>
      </c>
      <c r="I302" t="s">
        <v>46</v>
      </c>
      <c r="J302" t="s">
        <v>52</v>
      </c>
      <c r="K302" s="3">
        <v>-1717632</v>
      </c>
      <c r="L302" s="6">
        <v>-144</v>
      </c>
    </row>
    <row r="303" spans="2:12">
      <c r="B303" s="4">
        <f t="shared" si="138"/>
        <v>2026</v>
      </c>
      <c r="C303" s="8" t="str">
        <f t="shared" si="160"/>
        <v>Jun</v>
      </c>
      <c r="D303" s="8">
        <v>30</v>
      </c>
      <c r="E303" t="str">
        <f t="shared" si="150"/>
        <v>SALES TO MARKET</v>
      </c>
      <c r="F303" s="4" t="str">
        <f t="shared" si="156"/>
        <v>KP</v>
      </c>
      <c r="G303" t="str">
        <f t="shared" si="157"/>
        <v>NKA</v>
      </c>
      <c r="H303" s="4" t="str">
        <f>+H302</f>
        <v>INDOGROSIR</v>
      </c>
      <c r="I303" t="s">
        <v>47</v>
      </c>
      <c r="J303" t="s">
        <v>53</v>
      </c>
      <c r="K303" s="3">
        <v>2121840</v>
      </c>
      <c r="L303" s="6">
        <v>120</v>
      </c>
    </row>
    <row r="304" spans="2:12">
      <c r="B304" s="4">
        <f t="shared" si="138"/>
        <v>2026</v>
      </c>
      <c r="C304" s="8" t="str">
        <f t="shared" si="160"/>
        <v>Jun</v>
      </c>
      <c r="D304" s="8">
        <v>30</v>
      </c>
      <c r="E304" t="str">
        <f t="shared" si="150"/>
        <v>SALES TO MARKET</v>
      </c>
      <c r="F304" s="4" t="str">
        <f t="shared" si="156"/>
        <v>KP</v>
      </c>
      <c r="G304" t="str">
        <f t="shared" si="157"/>
        <v>NKA</v>
      </c>
      <c r="H304" s="4" t="s">
        <v>27</v>
      </c>
      <c r="I304" t="s">
        <v>46</v>
      </c>
      <c r="J304" t="s">
        <v>52</v>
      </c>
      <c r="K304" s="3">
        <v>79774464</v>
      </c>
      <c r="L304" s="6">
        <v>6688</v>
      </c>
    </row>
    <row r="305" spans="2:12">
      <c r="B305" s="4">
        <f t="shared" si="138"/>
        <v>2026</v>
      </c>
      <c r="C305" s="8" t="str">
        <f t="shared" si="160"/>
        <v>Jun</v>
      </c>
      <c r="D305" s="8">
        <v>30</v>
      </c>
      <c r="E305" t="str">
        <f t="shared" si="150"/>
        <v>SALES TO MARKET</v>
      </c>
      <c r="F305" s="4" t="str">
        <f t="shared" si="156"/>
        <v>KP</v>
      </c>
      <c r="G305" t="str">
        <f t="shared" si="157"/>
        <v>NKA</v>
      </c>
      <c r="H305" s="4" t="s">
        <v>28</v>
      </c>
      <c r="I305" t="s">
        <v>46</v>
      </c>
      <c r="J305" t="s">
        <v>52</v>
      </c>
      <c r="K305" s="3">
        <v>4556496</v>
      </c>
      <c r="L305" s="6">
        <v>382</v>
      </c>
    </row>
    <row r="306" spans="2:12">
      <c r="B306" s="4">
        <f t="shared" si="138"/>
        <v>2026</v>
      </c>
      <c r="C306" s="8" t="str">
        <f t="shared" si="160"/>
        <v>Jun</v>
      </c>
      <c r="D306" s="8">
        <v>30</v>
      </c>
      <c r="E306" t="str">
        <f t="shared" si="150"/>
        <v>SALES TO MARKET</v>
      </c>
      <c r="F306" s="4" t="str">
        <f t="shared" si="156"/>
        <v>KP</v>
      </c>
      <c r="G306" t="str">
        <f t="shared" ref="G306:H306" si="161">+G305</f>
        <v>NKA</v>
      </c>
      <c r="H306" s="4" t="str">
        <f t="shared" si="161"/>
        <v>LION SUPERINDO</v>
      </c>
      <c r="I306" t="s">
        <v>47</v>
      </c>
      <c r="J306" t="s">
        <v>53</v>
      </c>
      <c r="K306" s="3">
        <v>6153336</v>
      </c>
      <c r="L306" s="6">
        <v>348</v>
      </c>
    </row>
    <row r="307" spans="2:12">
      <c r="B307" s="4">
        <f t="shared" si="138"/>
        <v>2026</v>
      </c>
      <c r="C307" s="8" t="str">
        <f t="shared" si="160"/>
        <v>Jun</v>
      </c>
      <c r="D307" s="8">
        <v>30</v>
      </c>
      <c r="E307" t="str">
        <f t="shared" si="150"/>
        <v>SALES TO MARKET</v>
      </c>
      <c r="F307" s="4" t="str">
        <f t="shared" si="156"/>
        <v>KP</v>
      </c>
      <c r="G307" t="s">
        <v>42</v>
      </c>
      <c r="H307" s="4" t="s">
        <v>24</v>
      </c>
      <c r="I307" t="s">
        <v>45</v>
      </c>
      <c r="J307" t="s">
        <v>51</v>
      </c>
      <c r="K307" s="3">
        <v>314928</v>
      </c>
      <c r="L307" s="6">
        <v>24</v>
      </c>
    </row>
    <row r="308" spans="2:12">
      <c r="B308" s="4">
        <f t="shared" si="138"/>
        <v>2026</v>
      </c>
      <c r="C308" s="8" t="str">
        <f t="shared" si="160"/>
        <v>Jun</v>
      </c>
      <c r="D308" s="8">
        <v>30</v>
      </c>
      <c r="E308" t="str">
        <f t="shared" si="150"/>
        <v>SALES TO MARKET</v>
      </c>
      <c r="F308" s="4" t="str">
        <f t="shared" ref="F308:H309" si="162">+F307</f>
        <v>KP</v>
      </c>
      <c r="G308" t="str">
        <f t="shared" si="162"/>
        <v>NON NKA</v>
      </c>
      <c r="H308" s="4" t="str">
        <f t="shared" si="162"/>
        <v>BORMA GROUP</v>
      </c>
      <c r="I308" t="s">
        <v>46</v>
      </c>
      <c r="J308" t="s">
        <v>52</v>
      </c>
      <c r="K308" s="3">
        <v>858816</v>
      </c>
      <c r="L308" s="6">
        <v>72</v>
      </c>
    </row>
    <row r="309" spans="2:12">
      <c r="B309" s="4">
        <f t="shared" si="138"/>
        <v>2026</v>
      </c>
      <c r="C309" s="8" t="str">
        <f t="shared" si="160"/>
        <v>Jun</v>
      </c>
      <c r="D309" s="8">
        <v>30</v>
      </c>
      <c r="E309" t="str">
        <f t="shared" si="150"/>
        <v>SALES TO MARKET</v>
      </c>
      <c r="F309" s="4" t="str">
        <f t="shared" si="162"/>
        <v>KP</v>
      </c>
      <c r="G309" t="str">
        <f t="shared" si="162"/>
        <v>NON NKA</v>
      </c>
      <c r="H309" s="4" t="str">
        <f t="shared" si="162"/>
        <v>BORMA GROUP</v>
      </c>
      <c r="I309" t="s">
        <v>47</v>
      </c>
      <c r="J309" t="s">
        <v>53</v>
      </c>
      <c r="K309" s="3">
        <v>424368</v>
      </c>
      <c r="L309" s="6">
        <v>24</v>
      </c>
    </row>
    <row r="310" spans="2:12">
      <c r="B310" s="4">
        <f t="shared" si="138"/>
        <v>2026</v>
      </c>
      <c r="C310" s="8" t="str">
        <f t="shared" si="160"/>
        <v>Jun</v>
      </c>
      <c r="D310" s="8">
        <v>30</v>
      </c>
      <c r="E310" t="str">
        <f t="shared" si="150"/>
        <v>SALES TO MARKET</v>
      </c>
      <c r="F310" s="4" t="str">
        <f t="shared" ref="F310:G310" si="163">+F309</f>
        <v>KP</v>
      </c>
      <c r="G310" t="str">
        <f t="shared" si="163"/>
        <v>NON NKA</v>
      </c>
      <c r="H310" s="4" t="s">
        <v>29</v>
      </c>
      <c r="I310" t="s">
        <v>44</v>
      </c>
      <c r="J310" t="s">
        <v>50</v>
      </c>
      <c r="K310" s="3">
        <v>457073</v>
      </c>
      <c r="L310" s="6">
        <v>59</v>
      </c>
    </row>
    <row r="311" spans="2:12">
      <c r="B311" s="4">
        <f t="shared" si="138"/>
        <v>2026</v>
      </c>
      <c r="C311" s="8" t="str">
        <f t="shared" si="160"/>
        <v>Jun</v>
      </c>
      <c r="D311" s="8">
        <v>30</v>
      </c>
      <c r="E311" t="str">
        <f t="shared" si="150"/>
        <v>SALES TO MARKET</v>
      </c>
      <c r="F311" s="4" t="str">
        <f t="shared" ref="F311:H313" si="164">+F310</f>
        <v>KP</v>
      </c>
      <c r="G311" t="str">
        <f t="shared" si="164"/>
        <v>NON NKA</v>
      </c>
      <c r="H311" s="4" t="str">
        <f t="shared" si="164"/>
        <v>NAGA SWALAYAN GROUP</v>
      </c>
      <c r="I311" t="s">
        <v>45</v>
      </c>
      <c r="J311" t="s">
        <v>51</v>
      </c>
      <c r="K311" s="3">
        <v>1023516</v>
      </c>
      <c r="L311" s="6">
        <v>78</v>
      </c>
    </row>
    <row r="312" spans="2:12">
      <c r="B312" s="4">
        <f t="shared" si="138"/>
        <v>2026</v>
      </c>
      <c r="C312" s="8" t="str">
        <f t="shared" si="160"/>
        <v>Jun</v>
      </c>
      <c r="D312" s="8">
        <v>30</v>
      </c>
      <c r="E312" t="str">
        <f t="shared" si="150"/>
        <v>SALES TO MARKET</v>
      </c>
      <c r="F312" s="4" t="str">
        <f t="shared" si="164"/>
        <v>KP</v>
      </c>
      <c r="G312" t="str">
        <f t="shared" si="164"/>
        <v>NON NKA</v>
      </c>
      <c r="H312" s="4" t="str">
        <f t="shared" si="164"/>
        <v>NAGA SWALAYAN GROUP</v>
      </c>
      <c r="I312" t="s">
        <v>46</v>
      </c>
      <c r="J312" t="s">
        <v>52</v>
      </c>
      <c r="K312" s="3">
        <v>2003904</v>
      </c>
      <c r="L312" s="6">
        <v>168</v>
      </c>
    </row>
    <row r="313" spans="2:12">
      <c r="B313" s="4">
        <f t="shared" si="138"/>
        <v>2026</v>
      </c>
      <c r="C313" s="8" t="str">
        <f t="shared" si="160"/>
        <v>Jun</v>
      </c>
      <c r="D313" s="8">
        <v>30</v>
      </c>
      <c r="E313" t="str">
        <f t="shared" si="150"/>
        <v>SALES TO MARKET</v>
      </c>
      <c r="F313" s="4" t="str">
        <f t="shared" si="164"/>
        <v>KP</v>
      </c>
      <c r="G313" t="str">
        <f t="shared" si="164"/>
        <v>NON NKA</v>
      </c>
      <c r="H313" s="4" t="str">
        <f t="shared" si="164"/>
        <v>NAGA SWALAYAN GROUP</v>
      </c>
      <c r="I313" t="s">
        <v>47</v>
      </c>
      <c r="J313" t="s">
        <v>53</v>
      </c>
      <c r="K313" s="3">
        <v>2705346</v>
      </c>
      <c r="L313" s="6">
        <v>153</v>
      </c>
    </row>
    <row r="314" spans="2:12">
      <c r="B314" s="4">
        <f t="shared" si="138"/>
        <v>2026</v>
      </c>
      <c r="C314" s="8" t="str">
        <f t="shared" si="160"/>
        <v>Jun</v>
      </c>
      <c r="D314" s="8">
        <v>30</v>
      </c>
      <c r="E314" t="str">
        <f t="shared" si="150"/>
        <v>SALES TO MARKET</v>
      </c>
      <c r="F314" s="4" t="str">
        <f t="shared" ref="F314:G314" si="165">+F313</f>
        <v>KP</v>
      </c>
      <c r="G314" t="str">
        <f t="shared" si="165"/>
        <v>NON NKA</v>
      </c>
      <c r="H314" s="4" t="s">
        <v>30</v>
      </c>
      <c r="I314" t="s">
        <v>44</v>
      </c>
      <c r="J314" t="s">
        <v>50</v>
      </c>
      <c r="K314" s="3">
        <v>2200148</v>
      </c>
      <c r="L314" s="6">
        <v>284</v>
      </c>
    </row>
    <row r="315" spans="2:12">
      <c r="B315" s="4">
        <f t="shared" si="138"/>
        <v>2026</v>
      </c>
      <c r="C315" s="8" t="str">
        <f t="shared" si="160"/>
        <v>Jun</v>
      </c>
      <c r="D315" s="8">
        <v>30</v>
      </c>
      <c r="E315" t="str">
        <f t="shared" si="150"/>
        <v>SALES TO MARKET</v>
      </c>
      <c r="F315" s="4" t="str">
        <f t="shared" ref="F315:H317" si="166">+F314</f>
        <v>KP</v>
      </c>
      <c r="G315" t="str">
        <f t="shared" si="166"/>
        <v>NON NKA</v>
      </c>
      <c r="H315" s="4" t="str">
        <f t="shared" si="166"/>
        <v>OTHERS</v>
      </c>
      <c r="I315" t="s">
        <v>45</v>
      </c>
      <c r="J315" t="s">
        <v>51</v>
      </c>
      <c r="K315" s="3">
        <v>3792258</v>
      </c>
      <c r="L315" s="6">
        <v>289</v>
      </c>
    </row>
    <row r="316" spans="2:12">
      <c r="B316" s="4">
        <f t="shared" si="138"/>
        <v>2026</v>
      </c>
      <c r="C316" s="8" t="str">
        <f t="shared" si="160"/>
        <v>Jun</v>
      </c>
      <c r="D316" s="8">
        <v>30</v>
      </c>
      <c r="E316" t="str">
        <f t="shared" si="150"/>
        <v>SALES TO MARKET</v>
      </c>
      <c r="F316" s="4" t="str">
        <f t="shared" si="166"/>
        <v>KP</v>
      </c>
      <c r="G316" t="str">
        <f t="shared" si="166"/>
        <v>NON NKA</v>
      </c>
      <c r="H316" s="4" t="str">
        <f t="shared" si="166"/>
        <v>OTHERS</v>
      </c>
      <c r="I316" t="s">
        <v>46</v>
      </c>
      <c r="J316" t="s">
        <v>52</v>
      </c>
      <c r="K316" s="3">
        <v>7144872</v>
      </c>
      <c r="L316" s="6">
        <v>599</v>
      </c>
    </row>
    <row r="317" spans="2:12">
      <c r="B317" s="4">
        <f t="shared" si="138"/>
        <v>2026</v>
      </c>
      <c r="C317" s="8" t="str">
        <f t="shared" si="160"/>
        <v>Jun</v>
      </c>
      <c r="D317" s="8">
        <v>30</v>
      </c>
      <c r="E317" t="str">
        <f t="shared" si="150"/>
        <v>SALES TO MARKET</v>
      </c>
      <c r="F317" s="4" t="str">
        <f t="shared" si="166"/>
        <v>KP</v>
      </c>
      <c r="G317" t="str">
        <f t="shared" si="166"/>
        <v>NON NKA</v>
      </c>
      <c r="H317" s="4" t="str">
        <f t="shared" si="166"/>
        <v>OTHERS</v>
      </c>
      <c r="I317" t="s">
        <v>47</v>
      </c>
      <c r="J317" t="s">
        <v>53</v>
      </c>
      <c r="K317" s="3">
        <v>9901920</v>
      </c>
      <c r="L317" s="6">
        <v>560</v>
      </c>
    </row>
    <row r="318" spans="2:12">
      <c r="B318" s="4">
        <f t="shared" si="138"/>
        <v>2026</v>
      </c>
      <c r="C318" s="8" t="str">
        <f t="shared" si="160"/>
        <v>Jun</v>
      </c>
      <c r="D318" s="8">
        <v>30</v>
      </c>
      <c r="E318" t="str">
        <f t="shared" ref="E318:E342" si="167">+E317</f>
        <v>SALES TO MARKET</v>
      </c>
      <c r="F318" s="4" t="str">
        <f t="shared" ref="F318:G318" si="168">+F317</f>
        <v>KP</v>
      </c>
      <c r="G318" t="str">
        <f t="shared" si="168"/>
        <v>NON NKA</v>
      </c>
      <c r="H318" s="4" t="s">
        <v>31</v>
      </c>
      <c r="I318" t="s">
        <v>45</v>
      </c>
      <c r="J318" t="s">
        <v>51</v>
      </c>
      <c r="K318" s="3">
        <v>314928</v>
      </c>
      <c r="L318" s="6">
        <v>24</v>
      </c>
    </row>
    <row r="319" spans="2:12">
      <c r="B319" s="4">
        <f t="shared" si="138"/>
        <v>2026</v>
      </c>
      <c r="C319" s="8" t="str">
        <f t="shared" si="160"/>
        <v>Jun</v>
      </c>
      <c r="D319" s="8">
        <v>30</v>
      </c>
      <c r="E319" t="str">
        <f t="shared" si="167"/>
        <v>SALES TO MARKET</v>
      </c>
      <c r="F319" s="4" t="str">
        <f t="shared" ref="F319:H320" si="169">+F318</f>
        <v>KP</v>
      </c>
      <c r="G319" t="str">
        <f t="shared" si="169"/>
        <v>NON NKA</v>
      </c>
      <c r="H319" s="4" t="str">
        <f t="shared" si="169"/>
        <v>TIP-TOP SWALAYAN GROUP</v>
      </c>
      <c r="I319" t="s">
        <v>46</v>
      </c>
      <c r="J319" t="s">
        <v>52</v>
      </c>
      <c r="K319" s="3">
        <v>572544</v>
      </c>
      <c r="L319" s="6">
        <v>48</v>
      </c>
    </row>
    <row r="320" spans="2:12">
      <c r="B320" s="4">
        <f t="shared" si="138"/>
        <v>2026</v>
      </c>
      <c r="C320" s="8" t="str">
        <f t="shared" si="160"/>
        <v>Jun</v>
      </c>
      <c r="D320" s="8">
        <v>30</v>
      </c>
      <c r="E320" t="str">
        <f t="shared" si="167"/>
        <v>SALES TO MARKET</v>
      </c>
      <c r="F320" s="4" t="str">
        <f t="shared" si="169"/>
        <v>KP</v>
      </c>
      <c r="G320" t="str">
        <f t="shared" si="169"/>
        <v>NON NKA</v>
      </c>
      <c r="H320" s="4" t="str">
        <f t="shared" si="169"/>
        <v>TIP-TOP SWALAYAN GROUP</v>
      </c>
      <c r="I320" t="s">
        <v>47</v>
      </c>
      <c r="J320" t="s">
        <v>53</v>
      </c>
      <c r="K320" s="3">
        <v>848736</v>
      </c>
      <c r="L320" s="6">
        <v>48</v>
      </c>
    </row>
    <row r="321" spans="2:12">
      <c r="B321" s="4">
        <f t="shared" si="138"/>
        <v>2026</v>
      </c>
      <c r="C321" s="8" t="str">
        <f t="shared" si="160"/>
        <v>Jun</v>
      </c>
      <c r="D321" s="8">
        <v>30</v>
      </c>
      <c r="E321" t="str">
        <f t="shared" si="167"/>
        <v>SALES TO MARKET</v>
      </c>
      <c r="F321" s="4" t="str">
        <f t="shared" ref="F321:G321" si="170">+F320</f>
        <v>KP</v>
      </c>
      <c r="G321" t="str">
        <f t="shared" si="170"/>
        <v>NON NKA</v>
      </c>
      <c r="H321" s="4" t="s">
        <v>32</v>
      </c>
      <c r="I321" t="s">
        <v>45</v>
      </c>
      <c r="J321" t="s">
        <v>51</v>
      </c>
      <c r="K321" s="3">
        <v>1207224</v>
      </c>
      <c r="L321" s="6">
        <v>92</v>
      </c>
    </row>
    <row r="322" spans="2:12">
      <c r="B322" s="4">
        <f t="shared" si="138"/>
        <v>2026</v>
      </c>
      <c r="C322" s="8" t="str">
        <f t="shared" si="160"/>
        <v>Jun</v>
      </c>
      <c r="D322" s="8">
        <v>30</v>
      </c>
      <c r="E322" t="str">
        <f t="shared" si="167"/>
        <v>SALES TO MARKET</v>
      </c>
      <c r="F322" s="4" t="str">
        <f t="shared" ref="F322:H323" si="171">+F321</f>
        <v>KP</v>
      </c>
      <c r="G322" t="str">
        <f t="shared" si="171"/>
        <v>NON NKA</v>
      </c>
      <c r="H322" s="4" t="str">
        <f t="shared" si="171"/>
        <v>YOGYA GROUP</v>
      </c>
      <c r="I322" t="s">
        <v>46</v>
      </c>
      <c r="J322" t="s">
        <v>52</v>
      </c>
      <c r="K322" s="3">
        <v>3292128</v>
      </c>
      <c r="L322" s="6">
        <v>276</v>
      </c>
    </row>
    <row r="323" spans="2:12">
      <c r="B323" s="4">
        <f t="shared" si="138"/>
        <v>2026</v>
      </c>
      <c r="C323" s="8" t="str">
        <f t="shared" si="160"/>
        <v>Jun</v>
      </c>
      <c r="D323" s="8">
        <v>30</v>
      </c>
      <c r="E323" t="str">
        <f t="shared" si="167"/>
        <v>SALES TO MARKET</v>
      </c>
      <c r="F323" s="4" t="str">
        <f t="shared" si="171"/>
        <v>KP</v>
      </c>
      <c r="G323" t="str">
        <f t="shared" si="171"/>
        <v>NON NKA</v>
      </c>
      <c r="H323" s="4" t="str">
        <f t="shared" si="171"/>
        <v>YOGYA GROUP</v>
      </c>
      <c r="I323" t="s">
        <v>47</v>
      </c>
      <c r="J323" t="s">
        <v>53</v>
      </c>
      <c r="K323" s="3">
        <v>3182760</v>
      </c>
      <c r="L323" s="6">
        <v>180</v>
      </c>
    </row>
    <row r="324" spans="2:12">
      <c r="B324" s="4">
        <f t="shared" ref="B324:B349" si="172">+B323</f>
        <v>2026</v>
      </c>
      <c r="C324" s="8" t="str">
        <f t="shared" si="160"/>
        <v>Jun</v>
      </c>
      <c r="D324" s="8">
        <v>30</v>
      </c>
      <c r="E324" t="str">
        <f t="shared" si="167"/>
        <v>SALES TO MARKET</v>
      </c>
      <c r="F324" s="4" t="s">
        <v>12</v>
      </c>
      <c r="G324" t="s">
        <v>41</v>
      </c>
      <c r="H324" s="4" t="s">
        <v>22</v>
      </c>
      <c r="I324" t="s">
        <v>46</v>
      </c>
      <c r="J324" t="s">
        <v>52</v>
      </c>
      <c r="K324" s="3">
        <v>12450120</v>
      </c>
      <c r="L324" s="6">
        <v>1020</v>
      </c>
    </row>
    <row r="325" spans="2:12">
      <c r="B325" s="4">
        <f t="shared" si="172"/>
        <v>2026</v>
      </c>
      <c r="C325" s="8" t="str">
        <f t="shared" si="160"/>
        <v>Jun</v>
      </c>
      <c r="D325" s="8">
        <v>30</v>
      </c>
      <c r="E325" t="str">
        <f t="shared" si="167"/>
        <v>SALES TO MARKET</v>
      </c>
      <c r="F325" s="4" t="str">
        <f t="shared" ref="F325:F330" si="173">+F324</f>
        <v>PM</v>
      </c>
      <c r="G325" t="str">
        <f t="shared" ref="G325:G329" si="174">+G324</f>
        <v>NKA</v>
      </c>
      <c r="H325" s="4" t="s">
        <v>23</v>
      </c>
      <c r="I325" t="s">
        <v>45</v>
      </c>
      <c r="J325" t="s">
        <v>51</v>
      </c>
      <c r="K325" s="3">
        <v>1732200</v>
      </c>
      <c r="L325" s="6">
        <v>120</v>
      </c>
    </row>
    <row r="326" spans="2:12">
      <c r="B326" s="4">
        <f t="shared" si="172"/>
        <v>2026</v>
      </c>
      <c r="C326" s="8" t="str">
        <f t="shared" si="160"/>
        <v>Jun</v>
      </c>
      <c r="D326" s="8">
        <v>30</v>
      </c>
      <c r="E326" t="str">
        <f t="shared" si="167"/>
        <v>SALES TO MARKET</v>
      </c>
      <c r="F326" s="4" t="str">
        <f t="shared" si="173"/>
        <v>PM</v>
      </c>
      <c r="G326" t="str">
        <f t="shared" si="174"/>
        <v>NKA</v>
      </c>
      <c r="H326" s="4" t="str">
        <f t="shared" ref="H326:H327" si="175">+H325</f>
        <v>ALFAMIDI</v>
      </c>
      <c r="I326" t="s">
        <v>46</v>
      </c>
      <c r="J326" t="s">
        <v>52</v>
      </c>
      <c r="K326" s="3">
        <v>2929440</v>
      </c>
      <c r="L326" s="6">
        <v>240</v>
      </c>
    </row>
    <row r="327" spans="2:12">
      <c r="B327" s="4">
        <f t="shared" si="172"/>
        <v>2026</v>
      </c>
      <c r="C327" s="8" t="str">
        <f t="shared" si="160"/>
        <v>Jun</v>
      </c>
      <c r="D327" s="8">
        <v>30</v>
      </c>
      <c r="E327" t="str">
        <f t="shared" si="167"/>
        <v>SALES TO MARKET</v>
      </c>
      <c r="F327" s="4" t="str">
        <f t="shared" si="173"/>
        <v>PM</v>
      </c>
      <c r="G327" t="str">
        <f t="shared" si="174"/>
        <v>NKA</v>
      </c>
      <c r="H327" s="4" t="str">
        <f t="shared" si="175"/>
        <v>ALFAMIDI</v>
      </c>
      <c r="I327" t="s">
        <v>47</v>
      </c>
      <c r="J327" t="s">
        <v>53</v>
      </c>
      <c r="K327" s="3">
        <v>1867296</v>
      </c>
      <c r="L327" s="6">
        <v>96</v>
      </c>
    </row>
    <row r="328" spans="2:12">
      <c r="B328" s="4">
        <f t="shared" si="172"/>
        <v>2026</v>
      </c>
      <c r="C328" s="8" t="str">
        <f t="shared" si="160"/>
        <v>Jun</v>
      </c>
      <c r="D328" s="8">
        <v>30</v>
      </c>
      <c r="E328" t="str">
        <f t="shared" si="167"/>
        <v>SALES TO MARKET</v>
      </c>
      <c r="F328" s="4" t="str">
        <f t="shared" si="173"/>
        <v>PM</v>
      </c>
      <c r="G328" t="str">
        <f t="shared" si="174"/>
        <v>NKA</v>
      </c>
      <c r="H328" s="4" t="s">
        <v>26</v>
      </c>
      <c r="I328" t="s">
        <v>46</v>
      </c>
      <c r="J328" t="s">
        <v>52</v>
      </c>
      <c r="K328" s="3">
        <v>439416</v>
      </c>
      <c r="L328" s="6">
        <v>36</v>
      </c>
    </row>
    <row r="329" spans="2:12">
      <c r="B329" s="4">
        <f t="shared" si="172"/>
        <v>2026</v>
      </c>
      <c r="C329" s="8" t="str">
        <f t="shared" si="160"/>
        <v>Jun</v>
      </c>
      <c r="D329" s="8">
        <v>30</v>
      </c>
      <c r="E329" t="str">
        <f t="shared" si="167"/>
        <v>SALES TO MARKET</v>
      </c>
      <c r="F329" s="4" t="str">
        <f t="shared" si="173"/>
        <v>PM</v>
      </c>
      <c r="G329" t="str">
        <f t="shared" si="174"/>
        <v>NKA</v>
      </c>
      <c r="H329" s="4" t="s">
        <v>27</v>
      </c>
      <c r="I329" t="s">
        <v>46</v>
      </c>
      <c r="J329" t="s">
        <v>52</v>
      </c>
      <c r="K329" s="3">
        <v>10253040</v>
      </c>
      <c r="L329" s="6">
        <v>840</v>
      </c>
    </row>
    <row r="330" spans="2:12">
      <c r="B330" s="4">
        <f t="shared" si="172"/>
        <v>2026</v>
      </c>
      <c r="C330" s="8" t="str">
        <f t="shared" si="160"/>
        <v>Jun</v>
      </c>
      <c r="D330" s="8">
        <v>30</v>
      </c>
      <c r="E330" t="str">
        <f t="shared" si="167"/>
        <v>SALES TO MARKET</v>
      </c>
      <c r="F330" s="4" t="str">
        <f t="shared" si="173"/>
        <v>PM</v>
      </c>
      <c r="G330" t="s">
        <v>42</v>
      </c>
      <c r="H330" s="4" t="s">
        <v>30</v>
      </c>
      <c r="I330" t="s">
        <v>44</v>
      </c>
      <c r="J330" t="s">
        <v>50</v>
      </c>
      <c r="K330" s="3">
        <v>92964</v>
      </c>
      <c r="L330" s="6">
        <v>12</v>
      </c>
    </row>
    <row r="331" spans="2:12">
      <c r="B331" s="4">
        <f t="shared" si="172"/>
        <v>2026</v>
      </c>
      <c r="C331" s="8" t="str">
        <f t="shared" si="160"/>
        <v>Jun</v>
      </c>
      <c r="D331" s="8">
        <v>30</v>
      </c>
      <c r="E331" t="str">
        <f t="shared" si="167"/>
        <v>SALES TO MARKET</v>
      </c>
      <c r="F331" s="4" t="str">
        <f t="shared" ref="F331:H333" si="176">+F330</f>
        <v>PM</v>
      </c>
      <c r="G331" t="str">
        <f t="shared" si="176"/>
        <v>NON NKA</v>
      </c>
      <c r="H331" s="4" t="str">
        <f t="shared" si="176"/>
        <v>OTHERS</v>
      </c>
      <c r="I331" t="s">
        <v>45</v>
      </c>
      <c r="J331" t="s">
        <v>51</v>
      </c>
      <c r="K331" s="3">
        <v>173220</v>
      </c>
      <c r="L331" s="6">
        <v>12</v>
      </c>
    </row>
    <row r="332" spans="2:12">
      <c r="B332" s="4">
        <f t="shared" si="172"/>
        <v>2026</v>
      </c>
      <c r="C332" s="8" t="str">
        <f t="shared" si="160"/>
        <v>Jun</v>
      </c>
      <c r="D332" s="8">
        <v>30</v>
      </c>
      <c r="E332" t="str">
        <f t="shared" si="167"/>
        <v>SALES TO MARKET</v>
      </c>
      <c r="F332" s="4" t="str">
        <f t="shared" si="176"/>
        <v>PM</v>
      </c>
      <c r="G332" t="str">
        <f t="shared" si="176"/>
        <v>NON NKA</v>
      </c>
      <c r="H332" s="4" t="str">
        <f t="shared" si="176"/>
        <v>OTHERS</v>
      </c>
      <c r="I332" t="s">
        <v>46</v>
      </c>
      <c r="J332" t="s">
        <v>52</v>
      </c>
      <c r="K332" s="3">
        <v>219708</v>
      </c>
      <c r="L332" s="6">
        <v>18</v>
      </c>
    </row>
    <row r="333" spans="2:12">
      <c r="B333" s="4">
        <f t="shared" si="172"/>
        <v>2026</v>
      </c>
      <c r="C333" s="8" t="str">
        <f t="shared" ref="C333:C348" si="177">+C332</f>
        <v>Jun</v>
      </c>
      <c r="D333" s="8">
        <v>30</v>
      </c>
      <c r="E333" t="str">
        <f t="shared" si="167"/>
        <v>SALES TO MARKET</v>
      </c>
      <c r="F333" s="4" t="str">
        <f t="shared" si="176"/>
        <v>PM</v>
      </c>
      <c r="G333" t="str">
        <f t="shared" si="176"/>
        <v>NON NKA</v>
      </c>
      <c r="H333" s="4" t="str">
        <f t="shared" si="176"/>
        <v>OTHERS</v>
      </c>
      <c r="I333" t="s">
        <v>47</v>
      </c>
      <c r="J333" t="s">
        <v>53</v>
      </c>
      <c r="K333" s="3">
        <v>350118</v>
      </c>
      <c r="L333" s="6">
        <v>18</v>
      </c>
    </row>
    <row r="334" spans="2:12">
      <c r="B334" s="4">
        <f t="shared" si="172"/>
        <v>2026</v>
      </c>
      <c r="C334" s="8" t="str">
        <f t="shared" si="177"/>
        <v>Jun</v>
      </c>
      <c r="D334" s="8">
        <v>30</v>
      </c>
      <c r="E334" t="str">
        <f t="shared" si="167"/>
        <v>SALES TO MARKET</v>
      </c>
      <c r="F334" s="4" t="s">
        <v>14</v>
      </c>
      <c r="G334" t="s">
        <v>42</v>
      </c>
      <c r="H334" s="4" t="s">
        <v>24</v>
      </c>
      <c r="I334" t="s">
        <v>48</v>
      </c>
      <c r="J334" t="s">
        <v>54</v>
      </c>
      <c r="K334" s="3">
        <v>1551000</v>
      </c>
      <c r="L334" s="6">
        <v>75</v>
      </c>
    </row>
    <row r="335" spans="2:12">
      <c r="B335" s="4">
        <f t="shared" si="172"/>
        <v>2026</v>
      </c>
      <c r="C335" s="8" t="str">
        <f t="shared" si="177"/>
        <v>Jun</v>
      </c>
      <c r="D335" s="8">
        <v>30</v>
      </c>
      <c r="E335" t="str">
        <f t="shared" si="167"/>
        <v>SALES TO MARKET</v>
      </c>
      <c r="F335" s="4" t="str">
        <f t="shared" ref="F335:H339" si="178">+F334</f>
        <v>PP</v>
      </c>
      <c r="G335" t="str">
        <f t="shared" si="178"/>
        <v>NON NKA</v>
      </c>
      <c r="H335" s="4" t="str">
        <f t="shared" si="178"/>
        <v>BORMA GROUP</v>
      </c>
      <c r="I335" t="s">
        <v>49</v>
      </c>
      <c r="J335" t="s">
        <v>55</v>
      </c>
      <c r="K335" s="3">
        <v>2793120</v>
      </c>
      <c r="L335" s="6">
        <v>138</v>
      </c>
    </row>
    <row r="336" spans="2:12">
      <c r="B336" s="4">
        <f t="shared" si="172"/>
        <v>2026</v>
      </c>
      <c r="C336" s="8" t="str">
        <f t="shared" si="177"/>
        <v>Jun</v>
      </c>
      <c r="D336" s="8">
        <v>30</v>
      </c>
      <c r="E336" t="str">
        <f t="shared" si="167"/>
        <v>SALES TO MARKET</v>
      </c>
      <c r="F336" s="4" t="str">
        <f t="shared" si="178"/>
        <v>PP</v>
      </c>
      <c r="G336" t="str">
        <f t="shared" si="178"/>
        <v>NON NKA</v>
      </c>
      <c r="H336" s="4" t="str">
        <f t="shared" si="178"/>
        <v>BORMA GROUP</v>
      </c>
      <c r="I336" t="s">
        <v>44</v>
      </c>
      <c r="J336" t="s">
        <v>50</v>
      </c>
      <c r="K336" s="3">
        <v>2269871</v>
      </c>
      <c r="L336" s="6">
        <v>293</v>
      </c>
    </row>
    <row r="337" spans="2:12">
      <c r="B337" s="4">
        <f t="shared" si="172"/>
        <v>2026</v>
      </c>
      <c r="C337" s="8" t="str">
        <f t="shared" si="177"/>
        <v>Jun</v>
      </c>
      <c r="D337" s="8">
        <v>30</v>
      </c>
      <c r="E337" t="str">
        <f t="shared" si="167"/>
        <v>SALES TO MARKET</v>
      </c>
      <c r="F337" s="4" t="str">
        <f t="shared" si="178"/>
        <v>PP</v>
      </c>
      <c r="G337" t="str">
        <f t="shared" si="178"/>
        <v>NON NKA</v>
      </c>
      <c r="H337" s="4" t="str">
        <f t="shared" si="178"/>
        <v>BORMA GROUP</v>
      </c>
      <c r="I337" t="s">
        <v>45</v>
      </c>
      <c r="J337" t="s">
        <v>51</v>
      </c>
      <c r="K337" s="3">
        <v>5117580</v>
      </c>
      <c r="L337" s="6">
        <v>390</v>
      </c>
    </row>
    <row r="338" spans="2:12">
      <c r="B338" s="4">
        <f t="shared" si="172"/>
        <v>2026</v>
      </c>
      <c r="C338" s="8" t="str">
        <f t="shared" si="177"/>
        <v>Jun</v>
      </c>
      <c r="D338" s="8">
        <v>30</v>
      </c>
      <c r="E338" t="str">
        <f t="shared" si="167"/>
        <v>SALES TO MARKET</v>
      </c>
      <c r="F338" s="4" t="str">
        <f t="shared" si="178"/>
        <v>PP</v>
      </c>
      <c r="G338" t="str">
        <f t="shared" si="178"/>
        <v>NON NKA</v>
      </c>
      <c r="H338" s="4" t="str">
        <f t="shared" si="178"/>
        <v>BORMA GROUP</v>
      </c>
      <c r="I338" t="s">
        <v>46</v>
      </c>
      <c r="J338" t="s">
        <v>52</v>
      </c>
      <c r="K338" s="3">
        <v>5868576</v>
      </c>
      <c r="L338" s="6">
        <v>492</v>
      </c>
    </row>
    <row r="339" spans="2:12">
      <c r="B339" s="4">
        <f t="shared" si="172"/>
        <v>2026</v>
      </c>
      <c r="C339" s="8" t="str">
        <f t="shared" si="177"/>
        <v>Jun</v>
      </c>
      <c r="D339" s="8">
        <v>30</v>
      </c>
      <c r="E339" t="str">
        <f t="shared" si="167"/>
        <v>SALES TO MARKET</v>
      </c>
      <c r="F339" s="4" t="str">
        <f t="shared" si="178"/>
        <v>PP</v>
      </c>
      <c r="G339" t="str">
        <f t="shared" si="178"/>
        <v>NON NKA</v>
      </c>
      <c r="H339" s="4" t="str">
        <f t="shared" si="178"/>
        <v>BORMA GROUP</v>
      </c>
      <c r="I339" t="s">
        <v>47</v>
      </c>
      <c r="J339" t="s">
        <v>53</v>
      </c>
      <c r="K339" s="3">
        <v>6471612</v>
      </c>
      <c r="L339" s="6">
        <v>366</v>
      </c>
    </row>
    <row r="340" spans="2:12">
      <c r="B340" s="4">
        <f t="shared" si="172"/>
        <v>2026</v>
      </c>
      <c r="C340" s="8" t="str">
        <f t="shared" si="177"/>
        <v>Jun</v>
      </c>
      <c r="D340" s="8">
        <v>30</v>
      </c>
      <c r="E340" t="str">
        <f t="shared" si="167"/>
        <v>SALES TO MARKET</v>
      </c>
      <c r="F340" s="4" t="str">
        <f t="shared" ref="F340:G340" si="179">+F339</f>
        <v>PP</v>
      </c>
      <c r="G340" t="str">
        <f t="shared" si="179"/>
        <v>NON NKA</v>
      </c>
      <c r="H340" s="4" t="s">
        <v>30</v>
      </c>
      <c r="I340" t="s">
        <v>46</v>
      </c>
      <c r="J340" t="s">
        <v>52</v>
      </c>
      <c r="K340" s="3">
        <v>71568</v>
      </c>
      <c r="L340" s="6">
        <v>6</v>
      </c>
    </row>
    <row r="341" spans="2:12">
      <c r="B341" s="4">
        <f t="shared" si="172"/>
        <v>2026</v>
      </c>
      <c r="C341" s="8" t="str">
        <f t="shared" si="177"/>
        <v>Jun</v>
      </c>
      <c r="D341" s="8">
        <v>30</v>
      </c>
      <c r="E341" t="str">
        <f t="shared" si="167"/>
        <v>SALES TO MARKET</v>
      </c>
      <c r="F341" s="4" t="str">
        <f t="shared" ref="F341:H341" si="180">+F340</f>
        <v>PP</v>
      </c>
      <c r="G341" t="str">
        <f t="shared" si="180"/>
        <v>NON NKA</v>
      </c>
      <c r="H341" s="4" t="str">
        <f t="shared" si="180"/>
        <v>OTHERS</v>
      </c>
      <c r="I341" t="s">
        <v>47</v>
      </c>
      <c r="J341" t="s">
        <v>53</v>
      </c>
      <c r="K341" s="3">
        <v>106092</v>
      </c>
      <c r="L341" s="6">
        <v>6</v>
      </c>
    </row>
    <row r="342" spans="2:12">
      <c r="B342" s="4">
        <f t="shared" si="172"/>
        <v>2026</v>
      </c>
      <c r="C342" s="8" t="str">
        <f t="shared" si="177"/>
        <v>Jun</v>
      </c>
      <c r="D342" s="8">
        <v>30</v>
      </c>
      <c r="E342" t="str">
        <f t="shared" si="167"/>
        <v>SALES TO MARKET</v>
      </c>
      <c r="F342" s="4" t="s">
        <v>13</v>
      </c>
      <c r="G342" t="s">
        <v>41</v>
      </c>
      <c r="H342" s="4" t="s">
        <v>23</v>
      </c>
      <c r="I342" t="s">
        <v>45</v>
      </c>
      <c r="J342" t="s">
        <v>51</v>
      </c>
      <c r="K342" s="3">
        <v>1039320</v>
      </c>
      <c r="L342" s="6">
        <v>72</v>
      </c>
    </row>
    <row r="343" spans="2:12">
      <c r="B343" s="4">
        <f t="shared" si="172"/>
        <v>2026</v>
      </c>
      <c r="C343" s="8" t="str">
        <f t="shared" si="177"/>
        <v>Jun</v>
      </c>
      <c r="D343" s="8">
        <v>30</v>
      </c>
      <c r="E343" t="str">
        <f t="shared" ref="E343:H344" si="181">+E342</f>
        <v>SALES TO MARKET</v>
      </c>
      <c r="F343" s="4" t="str">
        <f t="shared" si="181"/>
        <v>VIP</v>
      </c>
      <c r="G343" t="str">
        <f t="shared" si="181"/>
        <v>NKA</v>
      </c>
      <c r="H343" s="4" t="str">
        <f t="shared" si="181"/>
        <v>ALFAMIDI</v>
      </c>
      <c r="I343" t="s">
        <v>46</v>
      </c>
      <c r="J343" t="s">
        <v>52</v>
      </c>
      <c r="K343" s="3">
        <v>585888</v>
      </c>
      <c r="L343" s="6">
        <v>48</v>
      </c>
    </row>
    <row r="344" spans="2:12">
      <c r="B344" s="4">
        <f t="shared" si="172"/>
        <v>2026</v>
      </c>
      <c r="C344" s="8" t="str">
        <f t="shared" si="177"/>
        <v>Jun</v>
      </c>
      <c r="D344" s="8">
        <v>30</v>
      </c>
      <c r="E344" t="str">
        <f t="shared" si="181"/>
        <v>SALES TO MARKET</v>
      </c>
      <c r="F344" s="4" t="str">
        <f t="shared" si="181"/>
        <v>VIP</v>
      </c>
      <c r="G344" t="str">
        <f t="shared" si="181"/>
        <v>NKA</v>
      </c>
      <c r="H344" s="4" t="str">
        <f t="shared" si="181"/>
        <v>ALFAMIDI</v>
      </c>
      <c r="I344" t="s">
        <v>47</v>
      </c>
      <c r="J344" t="s">
        <v>53</v>
      </c>
      <c r="K344" s="3">
        <v>700236</v>
      </c>
      <c r="L344" s="6">
        <v>36</v>
      </c>
    </row>
    <row r="345" spans="2:12">
      <c r="B345" s="4">
        <f t="shared" si="172"/>
        <v>2026</v>
      </c>
      <c r="C345" s="8" t="str">
        <f t="shared" si="177"/>
        <v>Jun</v>
      </c>
      <c r="D345" s="8">
        <v>30</v>
      </c>
      <c r="E345" t="str">
        <f t="shared" ref="E345:G345" si="182">+E344</f>
        <v>SALES TO MARKET</v>
      </c>
      <c r="F345" s="4" t="str">
        <f t="shared" si="182"/>
        <v>VIP</v>
      </c>
      <c r="G345" t="str">
        <f t="shared" si="182"/>
        <v>NKA</v>
      </c>
      <c r="H345" s="4" t="s">
        <v>27</v>
      </c>
      <c r="I345" t="s">
        <v>46</v>
      </c>
      <c r="J345" t="s">
        <v>52</v>
      </c>
      <c r="K345" s="3">
        <v>7323600</v>
      </c>
      <c r="L345" s="6">
        <v>600</v>
      </c>
    </row>
    <row r="346" spans="2:12">
      <c r="B346" s="4">
        <f t="shared" si="172"/>
        <v>2026</v>
      </c>
      <c r="C346" s="8" t="str">
        <f t="shared" si="177"/>
        <v>Jun</v>
      </c>
      <c r="D346" s="8">
        <v>30</v>
      </c>
      <c r="E346" t="str">
        <f t="shared" ref="E346:F346" si="183">+E345</f>
        <v>SALES TO MARKET</v>
      </c>
      <c r="F346" s="4" t="str">
        <f t="shared" si="183"/>
        <v>VIP</v>
      </c>
      <c r="G346" t="s">
        <v>42</v>
      </c>
      <c r="H346" s="4" t="s">
        <v>30</v>
      </c>
      <c r="I346" t="s">
        <v>45</v>
      </c>
      <c r="J346" t="s">
        <v>51</v>
      </c>
      <c r="K346" s="3">
        <v>43305</v>
      </c>
      <c r="L346" s="6">
        <v>3</v>
      </c>
    </row>
    <row r="347" spans="2:12">
      <c r="B347" s="4">
        <f t="shared" si="172"/>
        <v>2026</v>
      </c>
      <c r="C347" s="8" t="str">
        <f t="shared" si="177"/>
        <v>Jun</v>
      </c>
      <c r="D347" s="8">
        <v>30</v>
      </c>
      <c r="E347" t="str">
        <f t="shared" ref="E347:H348" si="184">+E346</f>
        <v>SALES TO MARKET</v>
      </c>
      <c r="F347" s="4" t="str">
        <f t="shared" si="184"/>
        <v>VIP</v>
      </c>
      <c r="G347" t="str">
        <f t="shared" si="184"/>
        <v>NON NKA</v>
      </c>
      <c r="H347" s="4" t="str">
        <f t="shared" si="184"/>
        <v>OTHERS</v>
      </c>
      <c r="I347" t="s">
        <v>46</v>
      </c>
      <c r="J347" t="s">
        <v>52</v>
      </c>
      <c r="K347" s="3">
        <v>402798</v>
      </c>
      <c r="L347" s="6">
        <v>33</v>
      </c>
    </row>
    <row r="348" spans="2:12">
      <c r="B348" s="4">
        <f t="shared" si="172"/>
        <v>2026</v>
      </c>
      <c r="C348" s="8" t="str">
        <f t="shared" si="177"/>
        <v>Jun</v>
      </c>
      <c r="D348" s="8">
        <v>30</v>
      </c>
      <c r="E348" t="str">
        <f t="shared" si="184"/>
        <v>SALES TO MARKET</v>
      </c>
      <c r="F348" s="4" t="str">
        <f t="shared" si="184"/>
        <v>VIP</v>
      </c>
      <c r="G348" t="str">
        <f t="shared" si="184"/>
        <v>NON NKA</v>
      </c>
      <c r="H348" s="4" t="str">
        <f t="shared" si="184"/>
        <v>OTHERS</v>
      </c>
      <c r="I348" t="s">
        <v>47</v>
      </c>
      <c r="J348" t="s">
        <v>53</v>
      </c>
      <c r="K348" s="3">
        <v>641883</v>
      </c>
      <c r="L348" s="6">
        <v>33</v>
      </c>
    </row>
    <row r="349" spans="2:12">
      <c r="B349" s="4">
        <f t="shared" si="172"/>
        <v>2026</v>
      </c>
      <c r="C349" s="8" t="s">
        <v>8</v>
      </c>
      <c r="D349" s="8">
        <v>31</v>
      </c>
      <c r="E349" t="s">
        <v>16</v>
      </c>
      <c r="F349" s="4" t="s">
        <v>0</v>
      </c>
      <c r="G349" t="s">
        <v>39</v>
      </c>
      <c r="H349" s="4" t="s">
        <v>34</v>
      </c>
      <c r="I349" t="s">
        <v>48</v>
      </c>
      <c r="J349" t="s">
        <v>54</v>
      </c>
      <c r="K349" s="1">
        <v>2222640</v>
      </c>
      <c r="L349" s="7">
        <v>108</v>
      </c>
    </row>
    <row r="350" spans="2:12">
      <c r="B350" s="4">
        <f t="shared" ref="B350:B381" si="185">+B349</f>
        <v>2026</v>
      </c>
      <c r="C350" s="8" t="str">
        <f t="shared" ref="C350:C381" si="186">+C349</f>
        <v>Jul</v>
      </c>
      <c r="D350" s="8">
        <v>31</v>
      </c>
      <c r="E350" t="str">
        <f t="shared" ref="E350:H354" si="187">+E349</f>
        <v>SALES TO DISTRIBUTOR</v>
      </c>
      <c r="F350" s="4" t="str">
        <f t="shared" si="187"/>
        <v>DIRECT</v>
      </c>
      <c r="G350" t="str">
        <f t="shared" si="187"/>
        <v>DISTRIBUTOR</v>
      </c>
      <c r="H350" s="4" t="str">
        <f t="shared" si="187"/>
        <v>KEBAYORAN PHARMA</v>
      </c>
      <c r="I350" t="s">
        <v>49</v>
      </c>
      <c r="J350" t="s">
        <v>55</v>
      </c>
      <c r="K350" s="1">
        <v>2222640</v>
      </c>
      <c r="L350" s="7">
        <v>108</v>
      </c>
    </row>
    <row r="351" spans="2:12">
      <c r="B351" s="4">
        <f t="shared" si="185"/>
        <v>2026</v>
      </c>
      <c r="C351" s="8" t="str">
        <f t="shared" si="186"/>
        <v>Jul</v>
      </c>
      <c r="D351" s="8">
        <v>31</v>
      </c>
      <c r="E351" t="str">
        <f t="shared" si="187"/>
        <v>SALES TO DISTRIBUTOR</v>
      </c>
      <c r="F351" s="4" t="str">
        <f t="shared" si="187"/>
        <v>DIRECT</v>
      </c>
      <c r="G351" t="str">
        <f t="shared" si="187"/>
        <v>DISTRIBUTOR</v>
      </c>
      <c r="H351" s="4" t="str">
        <f t="shared" si="187"/>
        <v>KEBAYORAN PHARMA</v>
      </c>
      <c r="I351" t="s">
        <v>44</v>
      </c>
      <c r="J351" t="s">
        <v>50</v>
      </c>
      <c r="K351" s="1">
        <v>5329103.1199999992</v>
      </c>
      <c r="L351" s="7">
        <v>719</v>
      </c>
    </row>
    <row r="352" spans="2:12">
      <c r="B352" s="4">
        <f t="shared" si="185"/>
        <v>2026</v>
      </c>
      <c r="C352" s="8" t="str">
        <f t="shared" si="186"/>
        <v>Jul</v>
      </c>
      <c r="D352" s="8">
        <v>31</v>
      </c>
      <c r="E352" t="str">
        <f t="shared" si="187"/>
        <v>SALES TO DISTRIBUTOR</v>
      </c>
      <c r="F352" s="4" t="str">
        <f t="shared" si="187"/>
        <v>DIRECT</v>
      </c>
      <c r="G352" t="str">
        <f t="shared" si="187"/>
        <v>DISTRIBUTOR</v>
      </c>
      <c r="H352" s="4" t="str">
        <f t="shared" si="187"/>
        <v>KEBAYORAN PHARMA</v>
      </c>
      <c r="I352" t="s">
        <v>45</v>
      </c>
      <c r="J352" t="s">
        <v>51</v>
      </c>
      <c r="K352" s="1">
        <v>14639940</v>
      </c>
      <c r="L352" s="7">
        <v>1125</v>
      </c>
    </row>
    <row r="353" spans="2:12">
      <c r="B353" s="4">
        <f t="shared" si="185"/>
        <v>2026</v>
      </c>
      <c r="C353" s="8" t="str">
        <f t="shared" si="186"/>
        <v>Jul</v>
      </c>
      <c r="D353" s="8">
        <v>31</v>
      </c>
      <c r="E353" t="str">
        <f t="shared" si="187"/>
        <v>SALES TO DISTRIBUTOR</v>
      </c>
      <c r="F353" s="4" t="str">
        <f t="shared" si="187"/>
        <v>DIRECT</v>
      </c>
      <c r="G353" t="str">
        <f t="shared" si="187"/>
        <v>DISTRIBUTOR</v>
      </c>
      <c r="H353" s="4" t="str">
        <f t="shared" si="187"/>
        <v>KEBAYORAN PHARMA</v>
      </c>
      <c r="I353" t="s">
        <v>46</v>
      </c>
      <c r="J353" t="s">
        <v>52</v>
      </c>
      <c r="K353" s="1">
        <v>322808000.39999998</v>
      </c>
      <c r="L353" s="7">
        <v>27063</v>
      </c>
    </row>
    <row r="354" spans="2:12">
      <c r="B354" s="4">
        <f t="shared" si="185"/>
        <v>2026</v>
      </c>
      <c r="C354" s="8" t="str">
        <f t="shared" si="186"/>
        <v>Jul</v>
      </c>
      <c r="D354" s="8">
        <v>31</v>
      </c>
      <c r="E354" t="str">
        <f t="shared" si="187"/>
        <v>SALES TO DISTRIBUTOR</v>
      </c>
      <c r="F354" s="4" t="str">
        <f t="shared" si="187"/>
        <v>DIRECT</v>
      </c>
      <c r="G354" t="str">
        <f t="shared" si="187"/>
        <v>DISTRIBUTOR</v>
      </c>
      <c r="H354" s="4" t="str">
        <f t="shared" si="187"/>
        <v>KEBAYORAN PHARMA</v>
      </c>
      <c r="I354" t="s">
        <v>47</v>
      </c>
      <c r="J354" t="s">
        <v>53</v>
      </c>
      <c r="K354" s="1">
        <v>43424404</v>
      </c>
      <c r="L354" s="7">
        <v>2485</v>
      </c>
    </row>
    <row r="355" spans="2:12">
      <c r="B355" s="4">
        <f t="shared" si="185"/>
        <v>2026</v>
      </c>
      <c r="C355" s="8" t="str">
        <f t="shared" si="186"/>
        <v>Jul</v>
      </c>
      <c r="D355" s="8">
        <v>31</v>
      </c>
      <c r="E355" t="str">
        <f t="shared" ref="E355:G355" si="188">+E354</f>
        <v>SALES TO DISTRIBUTOR</v>
      </c>
      <c r="F355" s="4" t="str">
        <f t="shared" si="188"/>
        <v>DIRECT</v>
      </c>
      <c r="G355" t="str">
        <f t="shared" si="188"/>
        <v>DISTRIBUTOR</v>
      </c>
      <c r="H355" s="4" t="s">
        <v>38</v>
      </c>
      <c r="I355" t="s">
        <v>48</v>
      </c>
      <c r="J355" t="s">
        <v>54</v>
      </c>
      <c r="K355" s="1">
        <v>2233440</v>
      </c>
      <c r="L355" s="7">
        <v>108</v>
      </c>
    </row>
    <row r="356" spans="2:12">
      <c r="B356" s="4">
        <f t="shared" si="185"/>
        <v>2026</v>
      </c>
      <c r="C356" s="8" t="str">
        <f t="shared" si="186"/>
        <v>Jul</v>
      </c>
      <c r="D356" s="8">
        <v>31</v>
      </c>
      <c r="E356" t="str">
        <f t="shared" ref="E356:H360" si="189">+E355</f>
        <v>SALES TO DISTRIBUTOR</v>
      </c>
      <c r="F356" s="4" t="str">
        <f t="shared" si="189"/>
        <v>DIRECT</v>
      </c>
      <c r="G356" t="str">
        <f t="shared" si="189"/>
        <v>DISTRIBUTOR</v>
      </c>
      <c r="H356" s="4" t="str">
        <f t="shared" si="189"/>
        <v>PANCA PILAR PERKASA</v>
      </c>
      <c r="I356" t="s">
        <v>49</v>
      </c>
      <c r="J356" t="s">
        <v>55</v>
      </c>
      <c r="K356" s="1">
        <v>2185920</v>
      </c>
      <c r="L356" s="7">
        <v>108</v>
      </c>
    </row>
    <row r="357" spans="2:12">
      <c r="B357" s="4">
        <f t="shared" si="185"/>
        <v>2026</v>
      </c>
      <c r="C357" s="8" t="str">
        <f t="shared" si="186"/>
        <v>Jul</v>
      </c>
      <c r="D357" s="8">
        <v>31</v>
      </c>
      <c r="E357" t="str">
        <f t="shared" si="189"/>
        <v>SALES TO DISTRIBUTOR</v>
      </c>
      <c r="F357" s="4" t="str">
        <f t="shared" si="189"/>
        <v>DIRECT</v>
      </c>
      <c r="G357" t="str">
        <f t="shared" si="189"/>
        <v>DISTRIBUTOR</v>
      </c>
      <c r="H357" s="4" t="str">
        <f t="shared" si="189"/>
        <v>PANCA PILAR PERKASA</v>
      </c>
      <c r="I357" t="s">
        <v>44</v>
      </c>
      <c r="J357" t="s">
        <v>50</v>
      </c>
      <c r="K357" s="1">
        <v>3718387.2</v>
      </c>
      <c r="L357" s="7">
        <v>480</v>
      </c>
    </row>
    <row r="358" spans="2:12">
      <c r="B358" s="4">
        <f t="shared" si="185"/>
        <v>2026</v>
      </c>
      <c r="C358" s="8" t="str">
        <f t="shared" si="186"/>
        <v>Jul</v>
      </c>
      <c r="D358" s="8">
        <v>31</v>
      </c>
      <c r="E358" t="str">
        <f t="shared" si="189"/>
        <v>SALES TO DISTRIBUTOR</v>
      </c>
      <c r="F358" s="4" t="str">
        <f t="shared" si="189"/>
        <v>DIRECT</v>
      </c>
      <c r="G358" t="str">
        <f t="shared" si="189"/>
        <v>DISTRIBUTOR</v>
      </c>
      <c r="H358" s="4" t="str">
        <f t="shared" si="189"/>
        <v>PANCA PILAR PERKASA</v>
      </c>
      <c r="I358" t="s">
        <v>45</v>
      </c>
      <c r="J358" t="s">
        <v>51</v>
      </c>
      <c r="K358" s="1">
        <v>8660784</v>
      </c>
      <c r="L358" s="7">
        <v>600</v>
      </c>
    </row>
    <row r="359" spans="2:12">
      <c r="B359" s="4">
        <f t="shared" si="185"/>
        <v>2026</v>
      </c>
      <c r="C359" s="8" t="str">
        <f t="shared" si="186"/>
        <v>Jul</v>
      </c>
      <c r="D359" s="8">
        <v>31</v>
      </c>
      <c r="E359" t="str">
        <f t="shared" si="189"/>
        <v>SALES TO DISTRIBUTOR</v>
      </c>
      <c r="F359" s="4" t="str">
        <f t="shared" si="189"/>
        <v>DIRECT</v>
      </c>
      <c r="G359" t="str">
        <f t="shared" si="189"/>
        <v>DISTRIBUTOR</v>
      </c>
      <c r="H359" s="4" t="str">
        <f t="shared" si="189"/>
        <v>PANCA PILAR PERKASA</v>
      </c>
      <c r="I359" t="s">
        <v>46</v>
      </c>
      <c r="J359" t="s">
        <v>52</v>
      </c>
      <c r="K359" s="1">
        <v>5126352</v>
      </c>
      <c r="L359" s="7">
        <v>420</v>
      </c>
    </row>
    <row r="360" spans="2:12">
      <c r="B360" s="4">
        <f t="shared" si="185"/>
        <v>2026</v>
      </c>
      <c r="C360" s="8" t="str">
        <f t="shared" si="186"/>
        <v>Jul</v>
      </c>
      <c r="D360" s="8">
        <v>31</v>
      </c>
      <c r="E360" t="str">
        <f t="shared" si="189"/>
        <v>SALES TO DISTRIBUTOR</v>
      </c>
      <c r="F360" s="4" t="str">
        <f t="shared" si="189"/>
        <v>DIRECT</v>
      </c>
      <c r="G360" t="str">
        <f t="shared" si="189"/>
        <v>DISTRIBUTOR</v>
      </c>
      <c r="H360" s="4" t="str">
        <f t="shared" si="189"/>
        <v>PANCA PILAR PERKASA</v>
      </c>
      <c r="I360" t="s">
        <v>47</v>
      </c>
      <c r="J360" t="s">
        <v>53</v>
      </c>
      <c r="K360" s="1">
        <v>7002230.4000000004</v>
      </c>
      <c r="L360" s="7">
        <v>360</v>
      </c>
    </row>
    <row r="361" spans="2:12">
      <c r="B361" s="4">
        <f t="shared" si="185"/>
        <v>2026</v>
      </c>
      <c r="C361" s="8" t="str">
        <f t="shared" si="186"/>
        <v>Jul</v>
      </c>
      <c r="D361" s="8">
        <v>31</v>
      </c>
      <c r="E361" t="str">
        <f t="shared" ref="E361:G361" si="190">+E360</f>
        <v>SALES TO DISTRIBUTOR</v>
      </c>
      <c r="F361" s="4" t="str">
        <f t="shared" si="190"/>
        <v>DIRECT</v>
      </c>
      <c r="G361" t="str">
        <f t="shared" si="190"/>
        <v>DISTRIBUTOR</v>
      </c>
      <c r="H361" s="4" t="s">
        <v>36</v>
      </c>
      <c r="I361" t="s">
        <v>45</v>
      </c>
      <c r="J361" t="s">
        <v>51</v>
      </c>
      <c r="K361" s="1">
        <v>1732156.8</v>
      </c>
      <c r="L361" s="7">
        <v>120</v>
      </c>
    </row>
    <row r="362" spans="2:12">
      <c r="B362" s="4">
        <f t="shared" si="185"/>
        <v>2026</v>
      </c>
      <c r="C362" s="8" t="str">
        <f t="shared" si="186"/>
        <v>Jul</v>
      </c>
      <c r="D362" s="8">
        <v>31</v>
      </c>
      <c r="E362" t="str">
        <f t="shared" ref="E362:H363" si="191">+E361</f>
        <v>SALES TO DISTRIBUTOR</v>
      </c>
      <c r="F362" s="4" t="str">
        <f t="shared" si="191"/>
        <v>DIRECT</v>
      </c>
      <c r="G362" t="str">
        <f t="shared" si="191"/>
        <v>DISTRIBUTOR</v>
      </c>
      <c r="H362" s="4" t="str">
        <f t="shared" si="191"/>
        <v>PRIMA MEDITAMA</v>
      </c>
      <c r="I362" t="s">
        <v>46</v>
      </c>
      <c r="J362" t="s">
        <v>52</v>
      </c>
      <c r="K362" s="1">
        <v>29000505.600000001</v>
      </c>
      <c r="L362" s="7">
        <v>2376</v>
      </c>
    </row>
    <row r="363" spans="2:12">
      <c r="B363" s="4">
        <f t="shared" si="185"/>
        <v>2026</v>
      </c>
      <c r="C363" s="8" t="str">
        <f t="shared" si="186"/>
        <v>Jul</v>
      </c>
      <c r="D363" s="8">
        <v>31</v>
      </c>
      <c r="E363" t="str">
        <f t="shared" si="191"/>
        <v>SALES TO DISTRIBUTOR</v>
      </c>
      <c r="F363" s="4" t="str">
        <f t="shared" si="191"/>
        <v>DIRECT</v>
      </c>
      <c r="G363" t="str">
        <f t="shared" si="191"/>
        <v>DISTRIBUTOR</v>
      </c>
      <c r="H363" s="4" t="str">
        <f t="shared" si="191"/>
        <v>PRIMA MEDITAMA</v>
      </c>
      <c r="I363" t="s">
        <v>47</v>
      </c>
      <c r="J363" t="s">
        <v>53</v>
      </c>
      <c r="K363" s="1">
        <v>3967930.56</v>
      </c>
      <c r="L363" s="7">
        <v>204</v>
      </c>
    </row>
    <row r="364" spans="2:12">
      <c r="B364" s="4">
        <f t="shared" si="185"/>
        <v>2026</v>
      </c>
      <c r="C364" s="8" t="str">
        <f t="shared" si="186"/>
        <v>Jul</v>
      </c>
      <c r="D364" s="8">
        <v>31</v>
      </c>
      <c r="E364" t="str">
        <f t="shared" ref="E364:G364" si="192">+E363</f>
        <v>SALES TO DISTRIBUTOR</v>
      </c>
      <c r="F364" s="4" t="str">
        <f t="shared" si="192"/>
        <v>DIRECT</v>
      </c>
      <c r="G364" t="str">
        <f t="shared" si="192"/>
        <v>DISTRIBUTOR</v>
      </c>
      <c r="H364" s="4" t="s">
        <v>37</v>
      </c>
      <c r="I364" t="s">
        <v>46</v>
      </c>
      <c r="J364" t="s">
        <v>52</v>
      </c>
      <c r="K364" s="1">
        <v>14646720</v>
      </c>
      <c r="L364" s="7">
        <v>1200</v>
      </c>
    </row>
    <row r="365" spans="2:12">
      <c r="B365" s="4">
        <f t="shared" si="185"/>
        <v>2026</v>
      </c>
      <c r="C365" s="8" t="str">
        <f t="shared" si="186"/>
        <v>Jul</v>
      </c>
      <c r="D365" s="8">
        <v>31</v>
      </c>
      <c r="E365" t="s">
        <v>17</v>
      </c>
      <c r="F365" s="4" t="s">
        <v>0</v>
      </c>
      <c r="G365" t="s">
        <v>40</v>
      </c>
      <c r="H365" s="4" t="s">
        <v>20</v>
      </c>
      <c r="I365" t="s">
        <v>44</v>
      </c>
      <c r="J365" t="s">
        <v>50</v>
      </c>
      <c r="K365" s="1">
        <v>4801800</v>
      </c>
      <c r="L365" s="7">
        <v>600</v>
      </c>
    </row>
    <row r="366" spans="2:12">
      <c r="B366" s="4">
        <f t="shared" si="185"/>
        <v>2026</v>
      </c>
      <c r="C366" s="8" t="str">
        <f t="shared" si="186"/>
        <v>Jul</v>
      </c>
      <c r="D366" s="8">
        <v>31</v>
      </c>
      <c r="E366" t="str">
        <f t="shared" ref="E366:E397" si="193">+E365</f>
        <v>SALES TO MARKET</v>
      </c>
      <c r="F366" s="4" t="str">
        <f t="shared" ref="F366:H368" si="194">+F365</f>
        <v>DIRECT</v>
      </c>
      <c r="G366" t="str">
        <f t="shared" si="194"/>
        <v>MTI</v>
      </c>
      <c r="H366" s="4" t="str">
        <f t="shared" si="194"/>
        <v>HYPERMART</v>
      </c>
      <c r="I366" t="s">
        <v>45</v>
      </c>
      <c r="J366" t="s">
        <v>51</v>
      </c>
      <c r="K366" s="1">
        <v>8231424</v>
      </c>
      <c r="L366" s="7">
        <v>552</v>
      </c>
    </row>
    <row r="367" spans="2:12">
      <c r="B367" s="4">
        <f t="shared" si="185"/>
        <v>2026</v>
      </c>
      <c r="C367" s="8" t="str">
        <f t="shared" si="186"/>
        <v>Jul</v>
      </c>
      <c r="D367" s="8">
        <v>31</v>
      </c>
      <c r="E367" t="str">
        <f t="shared" si="193"/>
        <v>SALES TO MARKET</v>
      </c>
      <c r="F367" s="4" t="str">
        <f t="shared" si="194"/>
        <v>DIRECT</v>
      </c>
      <c r="G367" t="str">
        <f t="shared" si="194"/>
        <v>MTI</v>
      </c>
      <c r="H367" s="4" t="str">
        <f t="shared" si="194"/>
        <v>HYPERMART</v>
      </c>
      <c r="I367" t="s">
        <v>46</v>
      </c>
      <c r="J367" t="s">
        <v>52</v>
      </c>
      <c r="K367" s="1">
        <v>907848</v>
      </c>
      <c r="L367" s="7">
        <v>72</v>
      </c>
    </row>
    <row r="368" spans="2:12">
      <c r="B368" s="4">
        <f t="shared" si="185"/>
        <v>2026</v>
      </c>
      <c r="C368" s="8" t="str">
        <f t="shared" si="186"/>
        <v>Jul</v>
      </c>
      <c r="D368" s="8">
        <v>31</v>
      </c>
      <c r="E368" t="str">
        <f t="shared" si="193"/>
        <v>SALES TO MARKET</v>
      </c>
      <c r="F368" s="4" t="str">
        <f t="shared" si="194"/>
        <v>DIRECT</v>
      </c>
      <c r="G368" t="str">
        <f t="shared" si="194"/>
        <v>MTI</v>
      </c>
      <c r="H368" s="4" t="str">
        <f t="shared" si="194"/>
        <v>HYPERMART</v>
      </c>
      <c r="I368" t="s">
        <v>47</v>
      </c>
      <c r="J368" t="s">
        <v>53</v>
      </c>
      <c r="K368" s="1">
        <v>723384</v>
      </c>
      <c r="L368" s="7">
        <v>36</v>
      </c>
    </row>
    <row r="369" spans="2:12">
      <c r="B369" s="4">
        <f t="shared" si="185"/>
        <v>2026</v>
      </c>
      <c r="C369" s="8" t="str">
        <f t="shared" si="186"/>
        <v>Jul</v>
      </c>
      <c r="D369" s="8">
        <v>31</v>
      </c>
      <c r="E369" t="str">
        <f t="shared" si="193"/>
        <v>SALES TO MARKET</v>
      </c>
      <c r="F369" s="4" t="str">
        <f t="shared" ref="F369:G369" si="195">+F368</f>
        <v>DIRECT</v>
      </c>
      <c r="G369" t="str">
        <f t="shared" si="195"/>
        <v>MTI</v>
      </c>
      <c r="H369" s="4" t="s">
        <v>33</v>
      </c>
      <c r="I369" t="s">
        <v>48</v>
      </c>
      <c r="J369" t="s">
        <v>54</v>
      </c>
      <c r="K369" s="1">
        <v>8460000</v>
      </c>
      <c r="L369" s="7">
        <v>360</v>
      </c>
    </row>
    <row r="370" spans="2:12">
      <c r="B370" s="4">
        <f t="shared" si="185"/>
        <v>2026</v>
      </c>
      <c r="C370" s="8" t="str">
        <f t="shared" si="186"/>
        <v>Jul</v>
      </c>
      <c r="D370" s="8">
        <v>31</v>
      </c>
      <c r="E370" t="str">
        <f t="shared" si="193"/>
        <v>SALES TO MARKET</v>
      </c>
      <c r="F370" s="4" t="str">
        <f t="shared" ref="F370:H370" si="196">+F369</f>
        <v>DIRECT</v>
      </c>
      <c r="G370" t="str">
        <f t="shared" si="196"/>
        <v>MTI</v>
      </c>
      <c r="H370" s="4" t="str">
        <f t="shared" si="196"/>
        <v>KEDAI MART</v>
      </c>
      <c r="I370" t="s">
        <v>49</v>
      </c>
      <c r="J370" t="s">
        <v>55</v>
      </c>
      <c r="K370" s="1">
        <v>11592000</v>
      </c>
      <c r="L370" s="7">
        <v>504</v>
      </c>
    </row>
    <row r="371" spans="2:12">
      <c r="B371" s="4">
        <f t="shared" si="185"/>
        <v>2026</v>
      </c>
      <c r="C371" s="8" t="str">
        <f t="shared" si="186"/>
        <v>Jul</v>
      </c>
      <c r="D371" s="8">
        <v>31</v>
      </c>
      <c r="E371" t="str">
        <f t="shared" si="193"/>
        <v>SALES TO MARKET</v>
      </c>
      <c r="F371" s="4" t="s">
        <v>11</v>
      </c>
      <c r="G371" t="s">
        <v>41</v>
      </c>
      <c r="H371" s="4" t="s">
        <v>22</v>
      </c>
      <c r="I371" t="s">
        <v>44</v>
      </c>
      <c r="J371" t="s">
        <v>50</v>
      </c>
      <c r="K371" s="3">
        <v>1115568</v>
      </c>
      <c r="L371" s="6">
        <v>144</v>
      </c>
    </row>
    <row r="372" spans="2:12">
      <c r="B372" s="4">
        <f t="shared" si="185"/>
        <v>2026</v>
      </c>
      <c r="C372" s="8" t="str">
        <f t="shared" si="186"/>
        <v>Jul</v>
      </c>
      <c r="D372" s="8">
        <v>31</v>
      </c>
      <c r="E372" t="str">
        <f t="shared" si="193"/>
        <v>SALES TO MARKET</v>
      </c>
      <c r="F372" s="4" t="str">
        <f t="shared" ref="F372:F382" si="197">+F371</f>
        <v>KP</v>
      </c>
      <c r="G372" t="str">
        <f t="shared" ref="G372:G380" si="198">+G371</f>
        <v>NKA</v>
      </c>
      <c r="H372" s="4" t="str">
        <f t="shared" ref="H372:H373" si="199">+H371</f>
        <v>ALFAMART</v>
      </c>
      <c r="I372" t="s">
        <v>46</v>
      </c>
      <c r="J372" t="s">
        <v>52</v>
      </c>
      <c r="K372" s="3">
        <v>162168916</v>
      </c>
      <c r="L372" s="6">
        <v>13286</v>
      </c>
    </row>
    <row r="373" spans="2:12">
      <c r="B373" s="4">
        <f t="shared" si="185"/>
        <v>2026</v>
      </c>
      <c r="C373" s="8" t="str">
        <f t="shared" si="186"/>
        <v>Jul</v>
      </c>
      <c r="D373" s="8">
        <v>31</v>
      </c>
      <c r="E373" t="str">
        <f t="shared" si="193"/>
        <v>SALES TO MARKET</v>
      </c>
      <c r="F373" s="4" t="str">
        <f t="shared" si="197"/>
        <v>KP</v>
      </c>
      <c r="G373" t="str">
        <f t="shared" si="198"/>
        <v>NKA</v>
      </c>
      <c r="H373" s="4" t="str">
        <f t="shared" si="199"/>
        <v>ALFAMART</v>
      </c>
      <c r="I373" t="s">
        <v>47</v>
      </c>
      <c r="J373" t="s">
        <v>53</v>
      </c>
      <c r="K373" s="3">
        <v>6535536</v>
      </c>
      <c r="L373" s="6">
        <v>336</v>
      </c>
    </row>
    <row r="374" spans="2:12">
      <c r="B374" s="4">
        <f t="shared" si="185"/>
        <v>2026</v>
      </c>
      <c r="C374" s="8" t="str">
        <f t="shared" si="186"/>
        <v>Jul</v>
      </c>
      <c r="D374" s="8">
        <v>31</v>
      </c>
      <c r="E374" t="str">
        <f t="shared" si="193"/>
        <v>SALES TO MARKET</v>
      </c>
      <c r="F374" s="4" t="str">
        <f t="shared" si="197"/>
        <v>KP</v>
      </c>
      <c r="G374" t="str">
        <f t="shared" si="198"/>
        <v>NKA</v>
      </c>
      <c r="H374" s="4" t="s">
        <v>23</v>
      </c>
      <c r="I374" t="s">
        <v>45</v>
      </c>
      <c r="J374" t="s">
        <v>51</v>
      </c>
      <c r="K374" s="3">
        <v>14204040</v>
      </c>
      <c r="L374" s="6">
        <v>984</v>
      </c>
    </row>
    <row r="375" spans="2:12">
      <c r="B375" s="4">
        <f t="shared" si="185"/>
        <v>2026</v>
      </c>
      <c r="C375" s="8" t="str">
        <f t="shared" si="186"/>
        <v>Jul</v>
      </c>
      <c r="D375" s="8">
        <v>31</v>
      </c>
      <c r="E375" t="str">
        <f t="shared" si="193"/>
        <v>SALES TO MARKET</v>
      </c>
      <c r="F375" s="4" t="str">
        <f t="shared" si="197"/>
        <v>KP</v>
      </c>
      <c r="G375" t="str">
        <f t="shared" si="198"/>
        <v>NKA</v>
      </c>
      <c r="H375" s="4" t="str">
        <f t="shared" ref="H375:H376" si="200">+H374</f>
        <v>ALFAMIDI</v>
      </c>
      <c r="I375" t="s">
        <v>46</v>
      </c>
      <c r="J375" t="s">
        <v>52</v>
      </c>
      <c r="K375" s="3">
        <v>16258392</v>
      </c>
      <c r="L375" s="6">
        <v>1332</v>
      </c>
    </row>
    <row r="376" spans="2:12">
      <c r="B376" s="4">
        <f t="shared" si="185"/>
        <v>2026</v>
      </c>
      <c r="C376" s="8" t="str">
        <f t="shared" si="186"/>
        <v>Jul</v>
      </c>
      <c r="D376" s="8">
        <v>31</v>
      </c>
      <c r="E376" t="str">
        <f t="shared" si="193"/>
        <v>SALES TO MARKET</v>
      </c>
      <c r="F376" s="4" t="str">
        <f t="shared" si="197"/>
        <v>KP</v>
      </c>
      <c r="G376" t="str">
        <f t="shared" si="198"/>
        <v>NKA</v>
      </c>
      <c r="H376" s="4" t="str">
        <f t="shared" si="200"/>
        <v>ALFAMIDI</v>
      </c>
      <c r="I376" t="s">
        <v>47</v>
      </c>
      <c r="J376" t="s">
        <v>53</v>
      </c>
      <c r="K376" s="3">
        <v>13771308</v>
      </c>
      <c r="L376" s="6">
        <v>708</v>
      </c>
    </row>
    <row r="377" spans="2:12">
      <c r="B377" s="4">
        <f t="shared" si="185"/>
        <v>2026</v>
      </c>
      <c r="C377" s="8" t="str">
        <f t="shared" si="186"/>
        <v>Jul</v>
      </c>
      <c r="D377" s="8">
        <v>31</v>
      </c>
      <c r="E377" t="str">
        <f t="shared" si="193"/>
        <v>SALES TO MARKET</v>
      </c>
      <c r="F377" s="4" t="str">
        <f t="shared" si="197"/>
        <v>KP</v>
      </c>
      <c r="G377" t="str">
        <f t="shared" si="198"/>
        <v>NKA</v>
      </c>
      <c r="H377" s="4" t="s">
        <v>26</v>
      </c>
      <c r="I377" t="s">
        <v>46</v>
      </c>
      <c r="J377" t="s">
        <v>52</v>
      </c>
      <c r="K377" s="3">
        <v>13036008</v>
      </c>
      <c r="L377" s="6">
        <v>1068</v>
      </c>
    </row>
    <row r="378" spans="2:12">
      <c r="B378" s="4">
        <f t="shared" si="185"/>
        <v>2026</v>
      </c>
      <c r="C378" s="8" t="str">
        <f t="shared" si="186"/>
        <v>Jul</v>
      </c>
      <c r="D378" s="8">
        <v>31</v>
      </c>
      <c r="E378" t="str">
        <f t="shared" si="193"/>
        <v>SALES TO MARKET</v>
      </c>
      <c r="F378" s="4" t="str">
        <f t="shared" si="197"/>
        <v>KP</v>
      </c>
      <c r="G378" t="str">
        <f t="shared" si="198"/>
        <v>NKA</v>
      </c>
      <c r="H378" s="4" t="str">
        <f>+H377</f>
        <v>INDOGROSIR</v>
      </c>
      <c r="I378" t="s">
        <v>47</v>
      </c>
      <c r="J378" t="s">
        <v>53</v>
      </c>
      <c r="K378" s="3">
        <v>2567532</v>
      </c>
      <c r="L378" s="6">
        <v>132</v>
      </c>
    </row>
    <row r="379" spans="2:12">
      <c r="B379" s="4">
        <f t="shared" si="185"/>
        <v>2026</v>
      </c>
      <c r="C379" s="8" t="str">
        <f t="shared" si="186"/>
        <v>Jul</v>
      </c>
      <c r="D379" s="8">
        <v>31</v>
      </c>
      <c r="E379" t="str">
        <f t="shared" si="193"/>
        <v>SALES TO MARKET</v>
      </c>
      <c r="F379" s="4" t="str">
        <f t="shared" si="197"/>
        <v>KP</v>
      </c>
      <c r="G379" t="str">
        <f t="shared" si="198"/>
        <v>NKA</v>
      </c>
      <c r="H379" s="4" t="s">
        <v>27</v>
      </c>
      <c r="I379" t="s">
        <v>46</v>
      </c>
      <c r="J379" t="s">
        <v>52</v>
      </c>
      <c r="K379" s="3">
        <v>132203186</v>
      </c>
      <c r="L379" s="6">
        <v>10831</v>
      </c>
    </row>
    <row r="380" spans="2:12">
      <c r="B380" s="4">
        <f t="shared" si="185"/>
        <v>2026</v>
      </c>
      <c r="C380" s="8" t="str">
        <f t="shared" si="186"/>
        <v>Jul</v>
      </c>
      <c r="D380" s="8">
        <v>31</v>
      </c>
      <c r="E380" t="str">
        <f t="shared" si="193"/>
        <v>SALES TO MARKET</v>
      </c>
      <c r="F380" s="4" t="str">
        <f t="shared" si="197"/>
        <v>KP</v>
      </c>
      <c r="G380" t="str">
        <f t="shared" si="198"/>
        <v>NKA</v>
      </c>
      <c r="H380" s="4" t="s">
        <v>28</v>
      </c>
      <c r="I380" t="s">
        <v>46</v>
      </c>
      <c r="J380" t="s">
        <v>52</v>
      </c>
      <c r="K380" s="3">
        <v>915450</v>
      </c>
      <c r="L380" s="6">
        <v>75</v>
      </c>
    </row>
    <row r="381" spans="2:12">
      <c r="B381" s="4">
        <f t="shared" si="185"/>
        <v>2026</v>
      </c>
      <c r="C381" s="8" t="str">
        <f t="shared" si="186"/>
        <v>Jul</v>
      </c>
      <c r="D381" s="8">
        <v>31</v>
      </c>
      <c r="E381" t="str">
        <f t="shared" si="193"/>
        <v>SALES TO MARKET</v>
      </c>
      <c r="F381" s="4" t="str">
        <f t="shared" si="197"/>
        <v>KP</v>
      </c>
      <c r="G381" t="str">
        <f t="shared" ref="G381:H381" si="201">+G380</f>
        <v>NKA</v>
      </c>
      <c r="H381" s="4" t="str">
        <f t="shared" si="201"/>
        <v>LION SUPERINDO</v>
      </c>
      <c r="I381" t="s">
        <v>47</v>
      </c>
      <c r="J381" t="s">
        <v>53</v>
      </c>
      <c r="K381" s="3">
        <v>-1050354</v>
      </c>
      <c r="L381" s="6">
        <v>-54</v>
      </c>
    </row>
    <row r="382" spans="2:12">
      <c r="B382" s="4">
        <f t="shared" ref="B382:B413" si="202">+B381</f>
        <v>2026</v>
      </c>
      <c r="C382" s="8" t="str">
        <f t="shared" ref="C382:C413" si="203">+C381</f>
        <v>Jul</v>
      </c>
      <c r="D382" s="8">
        <v>31</v>
      </c>
      <c r="E382" t="str">
        <f t="shared" si="193"/>
        <v>SALES TO MARKET</v>
      </c>
      <c r="F382" s="4" t="str">
        <f t="shared" si="197"/>
        <v>KP</v>
      </c>
      <c r="G382" t="s">
        <v>42</v>
      </c>
      <c r="H382" s="4" t="s">
        <v>24</v>
      </c>
      <c r="I382" t="s">
        <v>48</v>
      </c>
      <c r="J382" t="s">
        <v>54</v>
      </c>
      <c r="K382" s="3">
        <v>1737120</v>
      </c>
      <c r="L382" s="6">
        <v>84</v>
      </c>
    </row>
    <row r="383" spans="2:12">
      <c r="B383" s="4">
        <f t="shared" si="202"/>
        <v>2026</v>
      </c>
      <c r="C383" s="8" t="str">
        <f t="shared" si="203"/>
        <v>Jul</v>
      </c>
      <c r="D383" s="8">
        <v>31</v>
      </c>
      <c r="E383" t="str">
        <f t="shared" si="193"/>
        <v>SALES TO MARKET</v>
      </c>
      <c r="F383" s="4" t="str">
        <f t="shared" ref="F383:H387" si="204">+F382</f>
        <v>KP</v>
      </c>
      <c r="G383" t="str">
        <f t="shared" si="204"/>
        <v>NON NKA</v>
      </c>
      <c r="H383" s="4" t="str">
        <f t="shared" si="204"/>
        <v>BORMA GROUP</v>
      </c>
      <c r="I383" t="s">
        <v>49</v>
      </c>
      <c r="J383" t="s">
        <v>55</v>
      </c>
      <c r="K383" s="3">
        <v>1700160</v>
      </c>
      <c r="L383" s="6">
        <v>84</v>
      </c>
    </row>
    <row r="384" spans="2:12">
      <c r="B384" s="4">
        <f t="shared" si="202"/>
        <v>2026</v>
      </c>
      <c r="C384" s="8" t="str">
        <f t="shared" si="203"/>
        <v>Jul</v>
      </c>
      <c r="D384" s="8">
        <v>31</v>
      </c>
      <c r="E384" t="str">
        <f t="shared" si="193"/>
        <v>SALES TO MARKET</v>
      </c>
      <c r="F384" s="4" t="str">
        <f t="shared" si="204"/>
        <v>KP</v>
      </c>
      <c r="G384" t="str">
        <f t="shared" si="204"/>
        <v>NON NKA</v>
      </c>
      <c r="H384" s="4" t="str">
        <f t="shared" si="204"/>
        <v>BORMA GROUP</v>
      </c>
      <c r="I384" t="s">
        <v>44</v>
      </c>
      <c r="J384" t="s">
        <v>50</v>
      </c>
      <c r="K384" s="3">
        <v>371856</v>
      </c>
      <c r="L384" s="6">
        <v>48</v>
      </c>
    </row>
    <row r="385" spans="2:12">
      <c r="B385" s="4">
        <f t="shared" si="202"/>
        <v>2026</v>
      </c>
      <c r="C385" s="8" t="str">
        <f t="shared" si="203"/>
        <v>Jul</v>
      </c>
      <c r="D385" s="8">
        <v>31</v>
      </c>
      <c r="E385" t="str">
        <f t="shared" si="193"/>
        <v>SALES TO MARKET</v>
      </c>
      <c r="F385" s="4" t="str">
        <f t="shared" si="204"/>
        <v>KP</v>
      </c>
      <c r="G385" t="str">
        <f t="shared" si="204"/>
        <v>NON NKA</v>
      </c>
      <c r="H385" s="4" t="str">
        <f t="shared" si="204"/>
        <v>BORMA GROUP</v>
      </c>
      <c r="I385" t="s">
        <v>45</v>
      </c>
      <c r="J385" t="s">
        <v>51</v>
      </c>
      <c r="K385" s="3">
        <v>692880</v>
      </c>
      <c r="L385" s="6">
        <v>48</v>
      </c>
    </row>
    <row r="386" spans="2:12">
      <c r="B386" s="4">
        <f t="shared" si="202"/>
        <v>2026</v>
      </c>
      <c r="C386" s="8" t="str">
        <f t="shared" si="203"/>
        <v>Jul</v>
      </c>
      <c r="D386" s="8">
        <v>31</v>
      </c>
      <c r="E386" t="str">
        <f t="shared" si="193"/>
        <v>SALES TO MARKET</v>
      </c>
      <c r="F386" s="4" t="str">
        <f t="shared" si="204"/>
        <v>KP</v>
      </c>
      <c r="G386" t="str">
        <f t="shared" si="204"/>
        <v>NON NKA</v>
      </c>
      <c r="H386" s="4" t="str">
        <f t="shared" si="204"/>
        <v>BORMA GROUP</v>
      </c>
      <c r="I386" t="s">
        <v>46</v>
      </c>
      <c r="J386" t="s">
        <v>52</v>
      </c>
      <c r="K386" s="3">
        <v>976480</v>
      </c>
      <c r="L386" s="6">
        <v>80</v>
      </c>
    </row>
    <row r="387" spans="2:12">
      <c r="B387" s="4">
        <f t="shared" si="202"/>
        <v>2026</v>
      </c>
      <c r="C387" s="8" t="str">
        <f t="shared" si="203"/>
        <v>Jul</v>
      </c>
      <c r="D387" s="8">
        <v>31</v>
      </c>
      <c r="E387" t="str">
        <f t="shared" si="193"/>
        <v>SALES TO MARKET</v>
      </c>
      <c r="F387" s="4" t="str">
        <f t="shared" si="204"/>
        <v>KP</v>
      </c>
      <c r="G387" t="str">
        <f t="shared" si="204"/>
        <v>NON NKA</v>
      </c>
      <c r="H387" s="4" t="str">
        <f t="shared" si="204"/>
        <v>BORMA GROUP</v>
      </c>
      <c r="I387" t="s">
        <v>47</v>
      </c>
      <c r="J387" t="s">
        <v>53</v>
      </c>
      <c r="K387" s="3">
        <v>1633884</v>
      </c>
      <c r="L387" s="6">
        <v>84</v>
      </c>
    </row>
    <row r="388" spans="2:12">
      <c r="B388" s="4">
        <f t="shared" si="202"/>
        <v>2026</v>
      </c>
      <c r="C388" s="8" t="str">
        <f t="shared" si="203"/>
        <v>Jul</v>
      </c>
      <c r="D388" s="8">
        <v>31</v>
      </c>
      <c r="E388" t="str">
        <f t="shared" si="193"/>
        <v>SALES TO MARKET</v>
      </c>
      <c r="F388" s="4" t="str">
        <f t="shared" ref="F388:G388" si="205">+F387</f>
        <v>KP</v>
      </c>
      <c r="G388" t="str">
        <f t="shared" si="205"/>
        <v>NON NKA</v>
      </c>
      <c r="H388" s="4" t="s">
        <v>29</v>
      </c>
      <c r="I388" t="s">
        <v>44</v>
      </c>
      <c r="J388" t="s">
        <v>50</v>
      </c>
      <c r="K388" s="3">
        <v>511302</v>
      </c>
      <c r="L388" s="6">
        <v>66</v>
      </c>
    </row>
    <row r="389" spans="2:12">
      <c r="B389" s="4">
        <f t="shared" si="202"/>
        <v>2026</v>
      </c>
      <c r="C389" s="8" t="str">
        <f t="shared" si="203"/>
        <v>Jul</v>
      </c>
      <c r="D389" s="8">
        <v>31</v>
      </c>
      <c r="E389" t="str">
        <f t="shared" si="193"/>
        <v>SALES TO MARKET</v>
      </c>
      <c r="F389" s="4" t="str">
        <f t="shared" ref="F389:H391" si="206">+F388</f>
        <v>KP</v>
      </c>
      <c r="G389" t="str">
        <f t="shared" si="206"/>
        <v>NON NKA</v>
      </c>
      <c r="H389" s="4" t="str">
        <f t="shared" si="206"/>
        <v>NAGA SWALAYAN GROUP</v>
      </c>
      <c r="I389" t="s">
        <v>45</v>
      </c>
      <c r="J389" t="s">
        <v>51</v>
      </c>
      <c r="K389" s="3">
        <v>1818810</v>
      </c>
      <c r="L389" s="6">
        <v>126</v>
      </c>
    </row>
    <row r="390" spans="2:12">
      <c r="B390" s="4">
        <f t="shared" si="202"/>
        <v>2026</v>
      </c>
      <c r="C390" s="8" t="str">
        <f t="shared" si="203"/>
        <v>Jul</v>
      </c>
      <c r="D390" s="8">
        <v>31</v>
      </c>
      <c r="E390" t="str">
        <f t="shared" si="193"/>
        <v>SALES TO MARKET</v>
      </c>
      <c r="F390" s="4" t="str">
        <f t="shared" si="206"/>
        <v>KP</v>
      </c>
      <c r="G390" t="str">
        <f t="shared" si="206"/>
        <v>NON NKA</v>
      </c>
      <c r="H390" s="4" t="str">
        <f t="shared" si="206"/>
        <v>NAGA SWALAYAN GROUP</v>
      </c>
      <c r="I390" t="s">
        <v>46</v>
      </c>
      <c r="J390" t="s">
        <v>52</v>
      </c>
      <c r="K390" s="3">
        <v>219708</v>
      </c>
      <c r="L390" s="6">
        <v>18</v>
      </c>
    </row>
    <row r="391" spans="2:12">
      <c r="B391" s="4">
        <f t="shared" si="202"/>
        <v>2026</v>
      </c>
      <c r="C391" s="8" t="str">
        <f t="shared" si="203"/>
        <v>Jul</v>
      </c>
      <c r="D391" s="8">
        <v>31</v>
      </c>
      <c r="E391" t="str">
        <f t="shared" si="193"/>
        <v>SALES TO MARKET</v>
      </c>
      <c r="F391" s="4" t="str">
        <f t="shared" si="206"/>
        <v>KP</v>
      </c>
      <c r="G391" t="str">
        <f t="shared" si="206"/>
        <v>NON NKA</v>
      </c>
      <c r="H391" s="4" t="str">
        <f t="shared" si="206"/>
        <v>NAGA SWALAYAN GROUP</v>
      </c>
      <c r="I391" t="s">
        <v>47</v>
      </c>
      <c r="J391" t="s">
        <v>53</v>
      </c>
      <c r="K391" s="3">
        <v>1750590</v>
      </c>
      <c r="L391" s="6">
        <v>90</v>
      </c>
    </row>
    <row r="392" spans="2:12">
      <c r="B392" s="4">
        <f t="shared" si="202"/>
        <v>2026</v>
      </c>
      <c r="C392" s="8" t="str">
        <f t="shared" si="203"/>
        <v>Jul</v>
      </c>
      <c r="D392" s="8">
        <v>31</v>
      </c>
      <c r="E392" t="str">
        <f t="shared" si="193"/>
        <v>SALES TO MARKET</v>
      </c>
      <c r="F392" s="4" t="str">
        <f t="shared" ref="F392:G392" si="207">+F391</f>
        <v>KP</v>
      </c>
      <c r="G392" t="str">
        <f t="shared" si="207"/>
        <v>NON NKA</v>
      </c>
      <c r="H392" s="4" t="s">
        <v>30</v>
      </c>
      <c r="I392" t="s">
        <v>48</v>
      </c>
      <c r="J392" t="s">
        <v>54</v>
      </c>
      <c r="K392" s="3">
        <v>372240</v>
      </c>
      <c r="L392" s="6">
        <v>18</v>
      </c>
    </row>
    <row r="393" spans="2:12">
      <c r="B393" s="4">
        <f t="shared" si="202"/>
        <v>2026</v>
      </c>
      <c r="C393" s="8" t="str">
        <f t="shared" si="203"/>
        <v>Jul</v>
      </c>
      <c r="D393" s="8">
        <v>31</v>
      </c>
      <c r="E393" t="str">
        <f t="shared" si="193"/>
        <v>SALES TO MARKET</v>
      </c>
      <c r="F393" s="4" t="str">
        <f t="shared" ref="F393:H397" si="208">+F392</f>
        <v>KP</v>
      </c>
      <c r="G393" t="str">
        <f t="shared" si="208"/>
        <v>NON NKA</v>
      </c>
      <c r="H393" s="4" t="str">
        <f t="shared" si="208"/>
        <v>OTHERS</v>
      </c>
      <c r="I393" t="s">
        <v>49</v>
      </c>
      <c r="J393" t="s">
        <v>55</v>
      </c>
      <c r="K393" s="3">
        <v>364320</v>
      </c>
      <c r="L393" s="6">
        <v>18</v>
      </c>
    </row>
    <row r="394" spans="2:12">
      <c r="B394" s="4">
        <f t="shared" si="202"/>
        <v>2026</v>
      </c>
      <c r="C394" s="8" t="str">
        <f t="shared" si="203"/>
        <v>Jul</v>
      </c>
      <c r="D394" s="8">
        <v>31</v>
      </c>
      <c r="E394" t="str">
        <f t="shared" si="193"/>
        <v>SALES TO MARKET</v>
      </c>
      <c r="F394" s="4" t="str">
        <f t="shared" si="208"/>
        <v>KP</v>
      </c>
      <c r="G394" t="str">
        <f t="shared" si="208"/>
        <v>NON NKA</v>
      </c>
      <c r="H394" s="4" t="str">
        <f t="shared" si="208"/>
        <v>OTHERS</v>
      </c>
      <c r="I394" t="s">
        <v>44</v>
      </c>
      <c r="J394" t="s">
        <v>50</v>
      </c>
      <c r="K394" s="3">
        <v>883158</v>
      </c>
      <c r="L394" s="6">
        <v>114</v>
      </c>
    </row>
    <row r="395" spans="2:12">
      <c r="B395" s="4">
        <f t="shared" si="202"/>
        <v>2026</v>
      </c>
      <c r="C395" s="8" t="str">
        <f t="shared" si="203"/>
        <v>Jul</v>
      </c>
      <c r="D395" s="8">
        <v>31</v>
      </c>
      <c r="E395" t="str">
        <f t="shared" si="193"/>
        <v>SALES TO MARKET</v>
      </c>
      <c r="F395" s="4" t="str">
        <f t="shared" si="208"/>
        <v>KP</v>
      </c>
      <c r="G395" t="str">
        <f t="shared" si="208"/>
        <v>NON NKA</v>
      </c>
      <c r="H395" s="4" t="str">
        <f t="shared" si="208"/>
        <v>OTHERS</v>
      </c>
      <c r="I395" t="s">
        <v>45</v>
      </c>
      <c r="J395" t="s">
        <v>51</v>
      </c>
      <c r="K395" s="3">
        <v>2843695</v>
      </c>
      <c r="L395" s="6">
        <v>197</v>
      </c>
    </row>
    <row r="396" spans="2:12">
      <c r="B396" s="4">
        <f t="shared" si="202"/>
        <v>2026</v>
      </c>
      <c r="C396" s="8" t="str">
        <f t="shared" si="203"/>
        <v>Jul</v>
      </c>
      <c r="D396" s="8">
        <v>31</v>
      </c>
      <c r="E396" t="str">
        <f t="shared" si="193"/>
        <v>SALES TO MARKET</v>
      </c>
      <c r="F396" s="4" t="str">
        <f t="shared" si="208"/>
        <v>KP</v>
      </c>
      <c r="G396" t="str">
        <f t="shared" si="208"/>
        <v>NON NKA</v>
      </c>
      <c r="H396" s="4" t="str">
        <f t="shared" si="208"/>
        <v>OTHERS</v>
      </c>
      <c r="I396" t="s">
        <v>46</v>
      </c>
      <c r="J396" t="s">
        <v>52</v>
      </c>
      <c r="K396" s="3">
        <v>3918126</v>
      </c>
      <c r="L396" s="6">
        <v>321</v>
      </c>
    </row>
    <row r="397" spans="2:12">
      <c r="B397" s="4">
        <f t="shared" si="202"/>
        <v>2026</v>
      </c>
      <c r="C397" s="8" t="str">
        <f t="shared" si="203"/>
        <v>Jul</v>
      </c>
      <c r="D397" s="8">
        <v>31</v>
      </c>
      <c r="E397" t="str">
        <f t="shared" si="193"/>
        <v>SALES TO MARKET</v>
      </c>
      <c r="F397" s="4" t="str">
        <f t="shared" si="208"/>
        <v>KP</v>
      </c>
      <c r="G397" t="str">
        <f t="shared" si="208"/>
        <v>NON NKA</v>
      </c>
      <c r="H397" s="4" t="str">
        <f t="shared" si="208"/>
        <v>OTHERS</v>
      </c>
      <c r="I397" t="s">
        <v>47</v>
      </c>
      <c r="J397" t="s">
        <v>53</v>
      </c>
      <c r="K397" s="3">
        <v>5524084</v>
      </c>
      <c r="L397" s="6">
        <v>284</v>
      </c>
    </row>
    <row r="398" spans="2:12">
      <c r="B398" s="4">
        <f t="shared" si="202"/>
        <v>2026</v>
      </c>
      <c r="C398" s="8" t="str">
        <f t="shared" si="203"/>
        <v>Jul</v>
      </c>
      <c r="D398" s="8">
        <v>31</v>
      </c>
      <c r="E398" t="str">
        <f t="shared" ref="E398:E421" si="209">+E397</f>
        <v>SALES TO MARKET</v>
      </c>
      <c r="F398" s="4" t="str">
        <f t="shared" ref="F398:G398" si="210">+F397</f>
        <v>KP</v>
      </c>
      <c r="G398" t="str">
        <f t="shared" si="210"/>
        <v>NON NKA</v>
      </c>
      <c r="H398" s="4" t="s">
        <v>31</v>
      </c>
      <c r="I398" t="s">
        <v>44</v>
      </c>
      <c r="J398" t="s">
        <v>50</v>
      </c>
      <c r="K398" s="3">
        <v>1301496</v>
      </c>
      <c r="L398" s="6">
        <v>168</v>
      </c>
    </row>
    <row r="399" spans="2:12">
      <c r="B399" s="4">
        <f t="shared" si="202"/>
        <v>2026</v>
      </c>
      <c r="C399" s="8" t="str">
        <f t="shared" si="203"/>
        <v>Jul</v>
      </c>
      <c r="D399" s="8">
        <v>31</v>
      </c>
      <c r="E399" t="str">
        <f t="shared" si="209"/>
        <v>SALES TO MARKET</v>
      </c>
      <c r="F399" s="4" t="str">
        <f t="shared" ref="F399:H401" si="211">+F398</f>
        <v>KP</v>
      </c>
      <c r="G399" t="str">
        <f t="shared" si="211"/>
        <v>NON NKA</v>
      </c>
      <c r="H399" s="4" t="str">
        <f t="shared" si="211"/>
        <v>TIP-TOP SWALAYAN GROUP</v>
      </c>
      <c r="I399" t="s">
        <v>45</v>
      </c>
      <c r="J399" t="s">
        <v>51</v>
      </c>
      <c r="K399" s="3">
        <v>2771520</v>
      </c>
      <c r="L399" s="6">
        <v>192</v>
      </c>
    </row>
    <row r="400" spans="2:12">
      <c r="B400" s="4">
        <f t="shared" si="202"/>
        <v>2026</v>
      </c>
      <c r="C400" s="8" t="str">
        <f t="shared" si="203"/>
        <v>Jul</v>
      </c>
      <c r="D400" s="8">
        <v>31</v>
      </c>
      <c r="E400" t="str">
        <f t="shared" si="209"/>
        <v>SALES TO MARKET</v>
      </c>
      <c r="F400" s="4" t="str">
        <f t="shared" si="211"/>
        <v>KP</v>
      </c>
      <c r="G400" t="str">
        <f t="shared" si="211"/>
        <v>NON NKA</v>
      </c>
      <c r="H400" s="4" t="str">
        <f t="shared" si="211"/>
        <v>TIP-TOP SWALAYAN GROUP</v>
      </c>
      <c r="I400" t="s">
        <v>46</v>
      </c>
      <c r="J400" t="s">
        <v>52</v>
      </c>
      <c r="K400" s="3">
        <v>1904136</v>
      </c>
      <c r="L400" s="6">
        <v>156</v>
      </c>
    </row>
    <row r="401" spans="2:12">
      <c r="B401" s="4">
        <f t="shared" si="202"/>
        <v>2026</v>
      </c>
      <c r="C401" s="8" t="str">
        <f t="shared" si="203"/>
        <v>Jul</v>
      </c>
      <c r="D401" s="8">
        <v>31</v>
      </c>
      <c r="E401" t="str">
        <f t="shared" si="209"/>
        <v>SALES TO MARKET</v>
      </c>
      <c r="F401" s="4" t="str">
        <f t="shared" si="211"/>
        <v>KP</v>
      </c>
      <c r="G401" t="str">
        <f t="shared" si="211"/>
        <v>NON NKA</v>
      </c>
      <c r="H401" s="4" t="str">
        <f t="shared" si="211"/>
        <v>TIP-TOP SWALAYAN GROUP</v>
      </c>
      <c r="I401" t="s">
        <v>47</v>
      </c>
      <c r="J401" t="s">
        <v>53</v>
      </c>
      <c r="K401" s="3">
        <v>3014905</v>
      </c>
      <c r="L401" s="6">
        <v>155</v>
      </c>
    </row>
    <row r="402" spans="2:12">
      <c r="B402" s="4">
        <f t="shared" si="202"/>
        <v>2026</v>
      </c>
      <c r="C402" s="8" t="str">
        <f t="shared" si="203"/>
        <v>Jul</v>
      </c>
      <c r="D402" s="8">
        <v>31</v>
      </c>
      <c r="E402" t="str">
        <f t="shared" si="209"/>
        <v>SALES TO MARKET</v>
      </c>
      <c r="F402" s="4" t="str">
        <f t="shared" ref="F402:G402" si="212">+F401</f>
        <v>KP</v>
      </c>
      <c r="G402" t="str">
        <f t="shared" si="212"/>
        <v>NON NKA</v>
      </c>
      <c r="H402" s="4" t="s">
        <v>32</v>
      </c>
      <c r="I402" t="s">
        <v>45</v>
      </c>
      <c r="J402" t="s">
        <v>51</v>
      </c>
      <c r="K402" s="3">
        <v>1010450</v>
      </c>
      <c r="L402" s="6">
        <v>70</v>
      </c>
    </row>
    <row r="403" spans="2:12">
      <c r="B403" s="4">
        <f t="shared" si="202"/>
        <v>2026</v>
      </c>
      <c r="C403" s="8" t="str">
        <f t="shared" si="203"/>
        <v>Jul</v>
      </c>
      <c r="D403" s="8">
        <v>31</v>
      </c>
      <c r="E403" t="str">
        <f t="shared" si="209"/>
        <v>SALES TO MARKET</v>
      </c>
      <c r="F403" s="4" t="str">
        <f t="shared" ref="F403:H404" si="213">+F402</f>
        <v>KP</v>
      </c>
      <c r="G403" t="str">
        <f t="shared" si="213"/>
        <v>NON NKA</v>
      </c>
      <c r="H403" s="4" t="str">
        <f t="shared" si="213"/>
        <v>YOGYA GROUP</v>
      </c>
      <c r="I403" t="s">
        <v>46</v>
      </c>
      <c r="J403" t="s">
        <v>52</v>
      </c>
      <c r="K403" s="3">
        <v>2636496</v>
      </c>
      <c r="L403" s="6">
        <v>216</v>
      </c>
    </row>
    <row r="404" spans="2:12">
      <c r="B404" s="4">
        <f t="shared" si="202"/>
        <v>2026</v>
      </c>
      <c r="C404" s="8" t="str">
        <f t="shared" si="203"/>
        <v>Jul</v>
      </c>
      <c r="D404" s="8">
        <v>31</v>
      </c>
      <c r="E404" t="str">
        <f t="shared" si="209"/>
        <v>SALES TO MARKET</v>
      </c>
      <c r="F404" s="4" t="str">
        <f t="shared" si="213"/>
        <v>KP</v>
      </c>
      <c r="G404" t="str">
        <f t="shared" si="213"/>
        <v>NON NKA</v>
      </c>
      <c r="H404" s="4" t="str">
        <f t="shared" si="213"/>
        <v>YOGYA GROUP</v>
      </c>
      <c r="I404" t="s">
        <v>47</v>
      </c>
      <c r="J404" t="s">
        <v>53</v>
      </c>
      <c r="K404" s="3">
        <v>3851298</v>
      </c>
      <c r="L404" s="6">
        <v>198</v>
      </c>
    </row>
    <row r="405" spans="2:12">
      <c r="B405" s="4">
        <f t="shared" si="202"/>
        <v>2026</v>
      </c>
      <c r="C405" s="8" t="str">
        <f t="shared" si="203"/>
        <v>Jul</v>
      </c>
      <c r="D405" s="8">
        <v>31</v>
      </c>
      <c r="E405" t="str">
        <f t="shared" si="209"/>
        <v>SALES TO MARKET</v>
      </c>
      <c r="F405" s="4" t="s">
        <v>12</v>
      </c>
      <c r="G405" t="s">
        <v>41</v>
      </c>
      <c r="H405" s="4" t="s">
        <v>22</v>
      </c>
      <c r="I405" t="s">
        <v>46</v>
      </c>
      <c r="J405" t="s">
        <v>52</v>
      </c>
      <c r="K405" s="3">
        <v>5126520</v>
      </c>
      <c r="L405" s="6">
        <v>420</v>
      </c>
    </row>
    <row r="406" spans="2:12">
      <c r="B406" s="4">
        <f t="shared" si="202"/>
        <v>2026</v>
      </c>
      <c r="C406" s="8" t="str">
        <f t="shared" si="203"/>
        <v>Jul</v>
      </c>
      <c r="D406" s="8">
        <v>31</v>
      </c>
      <c r="E406" t="str">
        <f t="shared" si="209"/>
        <v>SALES TO MARKET</v>
      </c>
      <c r="F406" s="4" t="str">
        <f t="shared" ref="F406:F411" si="214">+F405</f>
        <v>PM</v>
      </c>
      <c r="G406" t="str">
        <f t="shared" ref="G406:G410" si="215">+G405</f>
        <v>NKA</v>
      </c>
      <c r="H406" s="4" t="str">
        <f>+H405</f>
        <v>ALFAMART</v>
      </c>
      <c r="I406" t="s">
        <v>47</v>
      </c>
      <c r="J406" t="s">
        <v>53</v>
      </c>
      <c r="K406" s="3">
        <v>466824</v>
      </c>
      <c r="L406" s="6">
        <v>24</v>
      </c>
    </row>
    <row r="407" spans="2:12">
      <c r="B407" s="4">
        <f t="shared" si="202"/>
        <v>2026</v>
      </c>
      <c r="C407" s="8" t="str">
        <f t="shared" si="203"/>
        <v>Jul</v>
      </c>
      <c r="D407" s="8">
        <v>31</v>
      </c>
      <c r="E407" t="str">
        <f t="shared" si="209"/>
        <v>SALES TO MARKET</v>
      </c>
      <c r="F407" s="4" t="str">
        <f t="shared" si="214"/>
        <v>PM</v>
      </c>
      <c r="G407" t="str">
        <f t="shared" si="215"/>
        <v>NKA</v>
      </c>
      <c r="H407" s="4" t="s">
        <v>23</v>
      </c>
      <c r="I407" t="s">
        <v>45</v>
      </c>
      <c r="J407" t="s">
        <v>51</v>
      </c>
      <c r="K407" s="3">
        <v>2078640</v>
      </c>
      <c r="L407" s="6">
        <v>144</v>
      </c>
    </row>
    <row r="408" spans="2:12">
      <c r="B408" s="4">
        <f t="shared" si="202"/>
        <v>2026</v>
      </c>
      <c r="C408" s="8" t="str">
        <f t="shared" si="203"/>
        <v>Jul</v>
      </c>
      <c r="D408" s="8">
        <v>31</v>
      </c>
      <c r="E408" t="str">
        <f t="shared" si="209"/>
        <v>SALES TO MARKET</v>
      </c>
      <c r="F408" s="4" t="str">
        <f t="shared" si="214"/>
        <v>PM</v>
      </c>
      <c r="G408" t="str">
        <f t="shared" si="215"/>
        <v>NKA</v>
      </c>
      <c r="H408" s="4" t="str">
        <f t="shared" ref="H408:H409" si="216">+H407</f>
        <v>ALFAMIDI</v>
      </c>
      <c r="I408" t="s">
        <v>46</v>
      </c>
      <c r="J408" t="s">
        <v>52</v>
      </c>
      <c r="K408" s="3">
        <v>2050608</v>
      </c>
      <c r="L408" s="6">
        <v>168</v>
      </c>
    </row>
    <row r="409" spans="2:12">
      <c r="B409" s="4">
        <f t="shared" si="202"/>
        <v>2026</v>
      </c>
      <c r="C409" s="8" t="str">
        <f t="shared" si="203"/>
        <v>Jul</v>
      </c>
      <c r="D409" s="8">
        <v>31</v>
      </c>
      <c r="E409" t="str">
        <f t="shared" si="209"/>
        <v>SALES TO MARKET</v>
      </c>
      <c r="F409" s="4" t="str">
        <f t="shared" si="214"/>
        <v>PM</v>
      </c>
      <c r="G409" t="str">
        <f t="shared" si="215"/>
        <v>NKA</v>
      </c>
      <c r="H409" s="4" t="str">
        <f t="shared" si="216"/>
        <v>ALFAMIDI</v>
      </c>
      <c r="I409" t="s">
        <v>47</v>
      </c>
      <c r="J409" t="s">
        <v>53</v>
      </c>
      <c r="K409" s="3">
        <v>2800944</v>
      </c>
      <c r="L409" s="6">
        <v>144</v>
      </c>
    </row>
    <row r="410" spans="2:12">
      <c r="B410" s="4">
        <f t="shared" si="202"/>
        <v>2026</v>
      </c>
      <c r="C410" s="8" t="str">
        <f t="shared" si="203"/>
        <v>Jul</v>
      </c>
      <c r="D410" s="8">
        <v>31</v>
      </c>
      <c r="E410" t="str">
        <f t="shared" si="209"/>
        <v>SALES TO MARKET</v>
      </c>
      <c r="F410" s="4" t="str">
        <f t="shared" si="214"/>
        <v>PM</v>
      </c>
      <c r="G410" t="str">
        <f t="shared" si="215"/>
        <v>NKA</v>
      </c>
      <c r="H410" s="4" t="s">
        <v>27</v>
      </c>
      <c r="I410" t="s">
        <v>46</v>
      </c>
      <c r="J410" t="s">
        <v>52</v>
      </c>
      <c r="K410" s="3">
        <v>4833576</v>
      </c>
      <c r="L410" s="6">
        <v>396</v>
      </c>
    </row>
    <row r="411" spans="2:12">
      <c r="B411" s="4">
        <f t="shared" si="202"/>
        <v>2026</v>
      </c>
      <c r="C411" s="8" t="str">
        <f t="shared" si="203"/>
        <v>Jul</v>
      </c>
      <c r="D411" s="8">
        <v>31</v>
      </c>
      <c r="E411" t="str">
        <f t="shared" si="209"/>
        <v>SALES TO MARKET</v>
      </c>
      <c r="F411" s="4" t="str">
        <f t="shared" si="214"/>
        <v>PM</v>
      </c>
      <c r="G411" t="s">
        <v>42</v>
      </c>
      <c r="H411" s="4" t="s">
        <v>30</v>
      </c>
      <c r="I411" t="s">
        <v>45</v>
      </c>
      <c r="J411" t="s">
        <v>51</v>
      </c>
      <c r="K411" s="3">
        <v>389745</v>
      </c>
      <c r="L411" s="6">
        <v>27</v>
      </c>
    </row>
    <row r="412" spans="2:12">
      <c r="B412" s="4">
        <f t="shared" si="202"/>
        <v>2026</v>
      </c>
      <c r="C412" s="8" t="str">
        <f t="shared" si="203"/>
        <v>Jul</v>
      </c>
      <c r="D412" s="8">
        <v>31</v>
      </c>
      <c r="E412" t="str">
        <f t="shared" si="209"/>
        <v>SALES TO MARKET</v>
      </c>
      <c r="F412" s="4" t="str">
        <f t="shared" ref="F412:H413" si="217">+F411</f>
        <v>PM</v>
      </c>
      <c r="G412" t="str">
        <f t="shared" si="217"/>
        <v>NON NKA</v>
      </c>
      <c r="H412" s="4" t="str">
        <f t="shared" si="217"/>
        <v>OTHERS</v>
      </c>
      <c r="I412" t="s">
        <v>46</v>
      </c>
      <c r="J412" t="s">
        <v>52</v>
      </c>
      <c r="K412" s="3">
        <v>390592</v>
      </c>
      <c r="L412" s="6">
        <v>32</v>
      </c>
    </row>
    <row r="413" spans="2:12">
      <c r="B413" s="4">
        <f t="shared" si="202"/>
        <v>2026</v>
      </c>
      <c r="C413" s="8" t="str">
        <f t="shared" si="203"/>
        <v>Jul</v>
      </c>
      <c r="D413" s="8">
        <v>31</v>
      </c>
      <c r="E413" t="str">
        <f t="shared" si="209"/>
        <v>SALES TO MARKET</v>
      </c>
      <c r="F413" s="4" t="str">
        <f t="shared" si="217"/>
        <v>PM</v>
      </c>
      <c r="G413" t="str">
        <f t="shared" si="217"/>
        <v>NON NKA</v>
      </c>
      <c r="H413" s="4" t="str">
        <f t="shared" si="217"/>
        <v>OTHERS</v>
      </c>
      <c r="I413" t="s">
        <v>47</v>
      </c>
      <c r="J413" t="s">
        <v>53</v>
      </c>
      <c r="K413" s="3">
        <v>1925649</v>
      </c>
      <c r="L413" s="6">
        <v>99</v>
      </c>
    </row>
    <row r="414" spans="2:12">
      <c r="B414" s="4">
        <f t="shared" ref="B414:B427" si="218">+B413</f>
        <v>2026</v>
      </c>
      <c r="C414" s="8" t="str">
        <f t="shared" ref="C414:C427" si="219">+C413</f>
        <v>Jul</v>
      </c>
      <c r="D414" s="8">
        <v>31</v>
      </c>
      <c r="E414" t="str">
        <f t="shared" si="209"/>
        <v>SALES TO MARKET</v>
      </c>
      <c r="F414" s="4" t="s">
        <v>14</v>
      </c>
      <c r="G414" t="s">
        <v>42</v>
      </c>
      <c r="H414" s="4" t="s">
        <v>24</v>
      </c>
      <c r="I414" t="s">
        <v>44</v>
      </c>
      <c r="J414" t="s">
        <v>50</v>
      </c>
      <c r="K414" s="3">
        <v>2726944</v>
      </c>
      <c r="L414" s="6">
        <v>352</v>
      </c>
    </row>
    <row r="415" spans="2:12">
      <c r="B415" s="4">
        <f t="shared" si="218"/>
        <v>2026</v>
      </c>
      <c r="C415" s="8" t="str">
        <f t="shared" si="219"/>
        <v>Jul</v>
      </c>
      <c r="D415" s="8">
        <v>31</v>
      </c>
      <c r="E415" t="str">
        <f t="shared" si="209"/>
        <v>SALES TO MARKET</v>
      </c>
      <c r="F415" s="4" t="str">
        <f t="shared" ref="F415:H417" si="220">+F414</f>
        <v>PP</v>
      </c>
      <c r="G415" t="str">
        <f t="shared" si="220"/>
        <v>NON NKA</v>
      </c>
      <c r="H415" s="4" t="str">
        <f t="shared" si="220"/>
        <v>BORMA GROUP</v>
      </c>
      <c r="I415" t="s">
        <v>45</v>
      </c>
      <c r="J415" t="s">
        <v>51</v>
      </c>
      <c r="K415" s="3">
        <v>6120440</v>
      </c>
      <c r="L415" s="6">
        <v>424</v>
      </c>
    </row>
    <row r="416" spans="2:12">
      <c r="B416" s="4">
        <f t="shared" si="218"/>
        <v>2026</v>
      </c>
      <c r="C416" s="8" t="str">
        <f t="shared" si="219"/>
        <v>Jul</v>
      </c>
      <c r="D416" s="8">
        <v>31</v>
      </c>
      <c r="E416" t="str">
        <f t="shared" si="209"/>
        <v>SALES TO MARKET</v>
      </c>
      <c r="F416" s="4" t="str">
        <f t="shared" si="220"/>
        <v>PP</v>
      </c>
      <c r="G416" t="str">
        <f t="shared" si="220"/>
        <v>NON NKA</v>
      </c>
      <c r="H416" s="4" t="str">
        <f t="shared" si="220"/>
        <v>BORMA GROUP</v>
      </c>
      <c r="I416" t="s">
        <v>46</v>
      </c>
      <c r="J416" t="s">
        <v>52</v>
      </c>
      <c r="K416" s="3">
        <v>4894606</v>
      </c>
      <c r="L416" s="6">
        <v>401</v>
      </c>
    </row>
    <row r="417" spans="2:12">
      <c r="B417" s="4">
        <f t="shared" si="218"/>
        <v>2026</v>
      </c>
      <c r="C417" s="8" t="str">
        <f t="shared" si="219"/>
        <v>Jul</v>
      </c>
      <c r="D417" s="8">
        <v>31</v>
      </c>
      <c r="E417" t="str">
        <f t="shared" si="209"/>
        <v>SALES TO MARKET</v>
      </c>
      <c r="F417" s="4" t="str">
        <f t="shared" si="220"/>
        <v>PP</v>
      </c>
      <c r="G417" t="str">
        <f t="shared" si="220"/>
        <v>NON NKA</v>
      </c>
      <c r="H417" s="4" t="str">
        <f t="shared" si="220"/>
        <v>BORMA GROUP</v>
      </c>
      <c r="I417" t="s">
        <v>47</v>
      </c>
      <c r="J417" t="s">
        <v>53</v>
      </c>
      <c r="K417" s="3">
        <v>6457732</v>
      </c>
      <c r="L417" s="6">
        <v>332</v>
      </c>
    </row>
    <row r="418" spans="2:12">
      <c r="B418" s="4">
        <f t="shared" si="218"/>
        <v>2026</v>
      </c>
      <c r="C418" s="8" t="str">
        <f t="shared" si="219"/>
        <v>Jul</v>
      </c>
      <c r="D418" s="8">
        <v>31</v>
      </c>
      <c r="E418" t="str">
        <f t="shared" si="209"/>
        <v>SALES TO MARKET</v>
      </c>
      <c r="F418" s="4" t="str">
        <f t="shared" ref="F418:G418" si="221">+F417</f>
        <v>PP</v>
      </c>
      <c r="G418" t="str">
        <f t="shared" si="221"/>
        <v>NON NKA</v>
      </c>
      <c r="H418" s="4" t="s">
        <v>30</v>
      </c>
      <c r="I418" t="s">
        <v>48</v>
      </c>
      <c r="J418" t="s">
        <v>54</v>
      </c>
      <c r="K418" s="3">
        <v>62040</v>
      </c>
      <c r="L418" s="6">
        <v>3</v>
      </c>
    </row>
    <row r="419" spans="2:12">
      <c r="B419" s="4">
        <f t="shared" si="218"/>
        <v>2026</v>
      </c>
      <c r="C419" s="8" t="str">
        <f t="shared" si="219"/>
        <v>Jul</v>
      </c>
      <c r="D419" s="8">
        <v>31</v>
      </c>
      <c r="E419" t="str">
        <f t="shared" si="209"/>
        <v>SALES TO MARKET</v>
      </c>
      <c r="F419" s="4" t="str">
        <f t="shared" ref="F419:H420" si="222">+F418</f>
        <v>PP</v>
      </c>
      <c r="G419" t="str">
        <f t="shared" si="222"/>
        <v>NON NKA</v>
      </c>
      <c r="H419" s="4" t="str">
        <f t="shared" si="222"/>
        <v>OTHERS</v>
      </c>
      <c r="I419" t="s">
        <v>49</v>
      </c>
      <c r="J419" t="s">
        <v>55</v>
      </c>
      <c r="K419" s="3">
        <v>263120</v>
      </c>
      <c r="L419" s="6">
        <v>13</v>
      </c>
    </row>
    <row r="420" spans="2:12">
      <c r="B420" s="4">
        <f t="shared" si="218"/>
        <v>2026</v>
      </c>
      <c r="C420" s="8" t="str">
        <f t="shared" si="219"/>
        <v>Jul</v>
      </c>
      <c r="D420" s="8">
        <v>31</v>
      </c>
      <c r="E420" t="str">
        <f t="shared" si="209"/>
        <v>SALES TO MARKET</v>
      </c>
      <c r="F420" s="4" t="str">
        <f t="shared" si="222"/>
        <v>PP</v>
      </c>
      <c r="G420" t="str">
        <f t="shared" si="222"/>
        <v>NON NKA</v>
      </c>
      <c r="H420" s="4" t="str">
        <f t="shared" si="222"/>
        <v>OTHERS</v>
      </c>
      <c r="I420" t="s">
        <v>46</v>
      </c>
      <c r="J420" t="s">
        <v>52</v>
      </c>
      <c r="K420" s="3">
        <v>73236</v>
      </c>
      <c r="L420" s="6">
        <v>6</v>
      </c>
    </row>
    <row r="421" spans="2:12">
      <c r="B421" s="4">
        <f t="shared" si="218"/>
        <v>2026</v>
      </c>
      <c r="C421" s="8" t="str">
        <f t="shared" si="219"/>
        <v>Jul</v>
      </c>
      <c r="D421" s="8">
        <v>31</v>
      </c>
      <c r="E421" t="str">
        <f t="shared" si="209"/>
        <v>SALES TO MARKET</v>
      </c>
      <c r="F421" s="4" t="s">
        <v>13</v>
      </c>
      <c r="G421" t="s">
        <v>41</v>
      </c>
      <c r="H421" s="4" t="s">
        <v>22</v>
      </c>
      <c r="I421" t="s">
        <v>46</v>
      </c>
      <c r="J421" t="s">
        <v>52</v>
      </c>
      <c r="K421" s="3">
        <v>8641848</v>
      </c>
      <c r="L421" s="6">
        <v>708</v>
      </c>
    </row>
    <row r="422" spans="2:12">
      <c r="B422" s="4">
        <f t="shared" si="218"/>
        <v>2026</v>
      </c>
      <c r="C422" s="8" t="str">
        <f t="shared" si="219"/>
        <v>Jul</v>
      </c>
      <c r="D422" s="8">
        <v>31</v>
      </c>
      <c r="E422" t="str">
        <f t="shared" ref="E422:G422" si="223">+E421</f>
        <v>SALES TO MARKET</v>
      </c>
      <c r="F422" s="4" t="str">
        <f t="shared" si="223"/>
        <v>VIP</v>
      </c>
      <c r="G422" t="str">
        <f t="shared" si="223"/>
        <v>NKA</v>
      </c>
      <c r="H422" s="4" t="s">
        <v>23</v>
      </c>
      <c r="I422" t="s">
        <v>45</v>
      </c>
      <c r="J422" t="s">
        <v>51</v>
      </c>
      <c r="K422" s="3">
        <v>3810840</v>
      </c>
      <c r="L422" s="6">
        <v>264</v>
      </c>
    </row>
    <row r="423" spans="2:12">
      <c r="B423" s="4">
        <f t="shared" si="218"/>
        <v>2026</v>
      </c>
      <c r="C423" s="8" t="str">
        <f t="shared" si="219"/>
        <v>Jul</v>
      </c>
      <c r="D423" s="8">
        <v>31</v>
      </c>
      <c r="E423" t="str">
        <f t="shared" ref="E423:H424" si="224">+E422</f>
        <v>SALES TO MARKET</v>
      </c>
      <c r="F423" s="4" t="str">
        <f t="shared" si="224"/>
        <v>VIP</v>
      </c>
      <c r="G423" t="str">
        <f t="shared" si="224"/>
        <v>NKA</v>
      </c>
      <c r="H423" s="4" t="str">
        <f t="shared" si="224"/>
        <v>ALFAMIDI</v>
      </c>
      <c r="I423" t="s">
        <v>46</v>
      </c>
      <c r="J423" t="s">
        <v>52</v>
      </c>
      <c r="K423" s="3">
        <v>1025304</v>
      </c>
      <c r="L423" s="6">
        <v>84</v>
      </c>
    </row>
    <row r="424" spans="2:12">
      <c r="B424" s="4">
        <f t="shared" si="218"/>
        <v>2026</v>
      </c>
      <c r="C424" s="8" t="str">
        <f t="shared" si="219"/>
        <v>Jul</v>
      </c>
      <c r="D424" s="8">
        <v>31</v>
      </c>
      <c r="E424" t="str">
        <f t="shared" si="224"/>
        <v>SALES TO MARKET</v>
      </c>
      <c r="F424" s="4" t="str">
        <f t="shared" si="224"/>
        <v>VIP</v>
      </c>
      <c r="G424" t="str">
        <f t="shared" si="224"/>
        <v>NKA</v>
      </c>
      <c r="H424" s="4" t="str">
        <f t="shared" si="224"/>
        <v>ALFAMIDI</v>
      </c>
      <c r="I424" t="s">
        <v>47</v>
      </c>
      <c r="J424" t="s">
        <v>53</v>
      </c>
      <c r="K424" s="3">
        <v>700236</v>
      </c>
      <c r="L424" s="6">
        <v>36</v>
      </c>
    </row>
    <row r="425" spans="2:12">
      <c r="B425" s="4">
        <f t="shared" si="218"/>
        <v>2026</v>
      </c>
      <c r="C425" s="8" t="str">
        <f t="shared" si="219"/>
        <v>Jul</v>
      </c>
      <c r="D425" s="8">
        <v>31</v>
      </c>
      <c r="E425" t="str">
        <f t="shared" ref="E425:G426" si="225">+E424</f>
        <v>SALES TO MARKET</v>
      </c>
      <c r="F425" s="4" t="str">
        <f t="shared" si="225"/>
        <v>VIP</v>
      </c>
      <c r="G425" t="str">
        <f t="shared" si="225"/>
        <v>NKA</v>
      </c>
      <c r="H425" s="4" t="s">
        <v>26</v>
      </c>
      <c r="I425" t="s">
        <v>47</v>
      </c>
      <c r="J425" t="s">
        <v>53</v>
      </c>
      <c r="K425" s="3">
        <v>233412</v>
      </c>
      <c r="L425" s="6">
        <v>12</v>
      </c>
    </row>
    <row r="426" spans="2:12">
      <c r="B426" s="4">
        <f t="shared" si="218"/>
        <v>2026</v>
      </c>
      <c r="C426" s="8" t="str">
        <f t="shared" si="219"/>
        <v>Jul</v>
      </c>
      <c r="D426" s="8">
        <v>31</v>
      </c>
      <c r="E426" t="str">
        <f t="shared" si="225"/>
        <v>SALES TO MARKET</v>
      </c>
      <c r="F426" s="4" t="str">
        <f t="shared" si="225"/>
        <v>VIP</v>
      </c>
      <c r="G426" t="str">
        <f t="shared" si="225"/>
        <v>NKA</v>
      </c>
      <c r="H426" s="4" t="s">
        <v>27</v>
      </c>
      <c r="I426" t="s">
        <v>46</v>
      </c>
      <c r="J426" t="s">
        <v>52</v>
      </c>
      <c r="K426" s="3">
        <v>1025304</v>
      </c>
      <c r="L426" s="6">
        <v>84</v>
      </c>
    </row>
    <row r="427" spans="2:12">
      <c r="B427" s="5">
        <f t="shared" si="218"/>
        <v>2026</v>
      </c>
      <c r="C427" s="8" t="str">
        <f t="shared" si="219"/>
        <v>Jul</v>
      </c>
      <c r="D427" s="8">
        <v>31</v>
      </c>
      <c r="E427" t="str">
        <f t="shared" ref="E427:F427" si="226">+E426</f>
        <v>SALES TO MARKET</v>
      </c>
      <c r="F427" s="4" t="str">
        <f t="shared" si="226"/>
        <v>VIP</v>
      </c>
      <c r="G427" t="s">
        <v>42</v>
      </c>
      <c r="H427" s="4" t="s">
        <v>30</v>
      </c>
      <c r="I427" t="s">
        <v>45</v>
      </c>
      <c r="J427" t="s">
        <v>51</v>
      </c>
      <c r="K427" s="3">
        <v>346440</v>
      </c>
      <c r="L427" s="6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71A4-85F4-4DCD-BDDE-11DC8E56615F}">
  <dimension ref="A1:B13"/>
  <sheetViews>
    <sheetView workbookViewId="0">
      <selection activeCell="H11" sqref="H11"/>
    </sheetView>
  </sheetViews>
  <sheetFormatPr defaultRowHeight="14"/>
  <cols>
    <col min="1" max="1" width="15.26953125" style="10" customWidth="1"/>
    <col min="2" max="2" width="21.81640625" style="10" customWidth="1"/>
    <col min="3" max="16384" width="8.7265625" style="10"/>
  </cols>
  <sheetData>
    <row r="1" spans="1:2" ht="16" customHeight="1">
      <c r="A1" s="9" t="s">
        <v>62</v>
      </c>
      <c r="B1" s="9" t="s">
        <v>63</v>
      </c>
    </row>
    <row r="2" spans="1:2">
      <c r="A2" s="11">
        <v>46023</v>
      </c>
      <c r="B2" s="12">
        <v>497026904</v>
      </c>
    </row>
    <row r="3" spans="1:2">
      <c r="A3" s="11">
        <v>46054</v>
      </c>
      <c r="B3" s="12">
        <v>520248310</v>
      </c>
    </row>
    <row r="4" spans="1:2">
      <c r="A4" s="11">
        <v>46082</v>
      </c>
      <c r="B4" s="12">
        <v>550538434</v>
      </c>
    </row>
    <row r="5" spans="1:2">
      <c r="A5" s="11">
        <v>46113</v>
      </c>
      <c r="B5" s="12">
        <v>558124854</v>
      </c>
    </row>
    <row r="6" spans="1:2">
      <c r="A6" s="11">
        <v>46143</v>
      </c>
      <c r="B6" s="12">
        <v>599061386</v>
      </c>
    </row>
    <row r="7" spans="1:2">
      <c r="A7" s="11">
        <v>46174</v>
      </c>
      <c r="B7" s="12">
        <v>634525640</v>
      </c>
    </row>
    <row r="8" spans="1:2">
      <c r="A8" s="11">
        <v>46204</v>
      </c>
      <c r="B8" s="12">
        <v>682682482</v>
      </c>
    </row>
    <row r="9" spans="1:2">
      <c r="A9" s="11">
        <v>46235</v>
      </c>
      <c r="B9" s="12">
        <v>731424949</v>
      </c>
    </row>
    <row r="10" spans="1:2">
      <c r="A10" s="11">
        <v>46266</v>
      </c>
      <c r="B10" s="12">
        <v>773658428</v>
      </c>
    </row>
    <row r="11" spans="1:2">
      <c r="A11" s="11">
        <v>46296</v>
      </c>
      <c r="B11" s="12">
        <v>830181772</v>
      </c>
    </row>
    <row r="12" spans="1:2">
      <c r="A12" s="11">
        <v>46327</v>
      </c>
      <c r="B12" s="12">
        <v>879998297</v>
      </c>
    </row>
    <row r="13" spans="1:2">
      <c r="A13" s="11">
        <v>46357</v>
      </c>
      <c r="B13" s="12">
        <v>945828540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Database</vt:lpstr>
      <vt:lpstr>MONTHLY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Sukma Setiawan</dc:creator>
  <cp:lastModifiedBy>Prima Sukma Setiawan</cp:lastModifiedBy>
  <dcterms:created xsi:type="dcterms:W3CDTF">2026-09-07T10:20:08Z</dcterms:created>
  <dcterms:modified xsi:type="dcterms:W3CDTF">2026-09-07T10:38:56Z</dcterms:modified>
</cp:coreProperties>
</file>